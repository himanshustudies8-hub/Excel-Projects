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imanshu singh\excel videos\videos 9 vlookup\"/>
    </mc:Choice>
  </mc:AlternateContent>
  <bookViews>
    <workbookView xWindow="0" yWindow="0" windowWidth="20490" windowHeight="7530" firstSheet="1" activeTab="9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7" sheetId="9" r:id="rId7"/>
    <sheet name="Sheet8" sheetId="10" r:id="rId8"/>
    <sheet name="Sheet9" sheetId="11" r:id="rId9"/>
    <sheet name="Sheet10" sheetId="12" r:id="rId10"/>
  </sheets>
  <definedNames>
    <definedName name="_xlnm._FilterDatabase" localSheetId="0" hidden="1">Sheet1!$A$6:$J$33</definedName>
    <definedName name="_xlnm._FilterDatabase" localSheetId="1" hidden="1">Sheet2!$D$3:$E$51</definedName>
    <definedName name="_xlnm._FilterDatabase" localSheetId="5" hidden="1">Sheet6!$L$3:$L$37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2" l="1"/>
  <c r="K5" i="12"/>
  <c r="K6" i="12"/>
  <c r="K7" i="12"/>
  <c r="K8" i="12"/>
  <c r="K9" i="12"/>
  <c r="K10" i="12"/>
  <c r="K11" i="12"/>
  <c r="K12" i="12"/>
  <c r="K3" i="12"/>
  <c r="J3" i="12"/>
  <c r="J4" i="12"/>
  <c r="J5" i="12"/>
  <c r="J6" i="12"/>
  <c r="J7" i="12"/>
  <c r="J8" i="12"/>
  <c r="J9" i="12"/>
  <c r="J10" i="12"/>
  <c r="J11" i="12"/>
  <c r="J12" i="12"/>
  <c r="I4" i="12"/>
  <c r="I3" i="12"/>
  <c r="I5" i="12"/>
  <c r="I6" i="12"/>
  <c r="I7" i="12"/>
  <c r="I8" i="12"/>
  <c r="I9" i="12"/>
  <c r="I10" i="12"/>
  <c r="I11" i="12"/>
  <c r="I12" i="12"/>
  <c r="E4" i="11"/>
  <c r="E5" i="11"/>
  <c r="E3" i="11"/>
  <c r="F9" i="11"/>
  <c r="F10" i="11"/>
  <c r="F11" i="11"/>
  <c r="E9" i="11"/>
  <c r="E10" i="11"/>
  <c r="E8" i="11"/>
  <c r="E11" i="11"/>
  <c r="E12" i="11"/>
  <c r="G22" i="10"/>
  <c r="H22" i="10"/>
  <c r="I22" i="10"/>
  <c r="G23" i="10"/>
  <c r="H23" i="10"/>
  <c r="I23" i="10"/>
  <c r="G24" i="10"/>
  <c r="H24" i="10"/>
  <c r="I24" i="10"/>
  <c r="G25" i="10"/>
  <c r="H25" i="10"/>
  <c r="I25" i="10"/>
  <c r="G26" i="10"/>
  <c r="H26" i="10"/>
  <c r="I26" i="10"/>
  <c r="G27" i="10"/>
  <c r="H27" i="10"/>
  <c r="I27" i="10"/>
  <c r="G28" i="10"/>
  <c r="H28" i="10"/>
  <c r="I28" i="10"/>
  <c r="G29" i="10"/>
  <c r="H29" i="10"/>
  <c r="I29" i="10"/>
  <c r="G30" i="10"/>
  <c r="H30" i="10"/>
  <c r="I30" i="10"/>
  <c r="G31" i="10"/>
  <c r="H31" i="10"/>
  <c r="I31" i="10"/>
  <c r="G32" i="10"/>
  <c r="H32" i="10"/>
  <c r="I32" i="10"/>
  <c r="G33" i="10"/>
  <c r="H33" i="10"/>
  <c r="I33" i="10"/>
  <c r="G34" i="10"/>
  <c r="H34" i="10"/>
  <c r="I34" i="10"/>
  <c r="G35" i="10"/>
  <c r="H35" i="10"/>
  <c r="I35" i="10"/>
  <c r="G36" i="10"/>
  <c r="H36" i="10"/>
  <c r="I36" i="10"/>
  <c r="G37" i="10"/>
  <c r="H37" i="10"/>
  <c r="I37" i="10"/>
  <c r="G3" i="10"/>
  <c r="H3" i="10"/>
  <c r="I3" i="10"/>
  <c r="G4" i="10"/>
  <c r="H4" i="10"/>
  <c r="I4" i="10"/>
  <c r="G5" i="10"/>
  <c r="H5" i="10"/>
  <c r="I5" i="10"/>
  <c r="G6" i="10"/>
  <c r="H6" i="10"/>
  <c r="I6" i="10"/>
  <c r="G7" i="10"/>
  <c r="H7" i="10"/>
  <c r="I7" i="10"/>
  <c r="G8" i="10"/>
  <c r="H8" i="10"/>
  <c r="I8" i="10"/>
  <c r="G9" i="10"/>
  <c r="H9" i="10"/>
  <c r="I9" i="10"/>
  <c r="G10" i="10"/>
  <c r="H10" i="10"/>
  <c r="I10" i="10"/>
  <c r="G11" i="10"/>
  <c r="H11" i="10"/>
  <c r="I11" i="10"/>
  <c r="G12" i="10"/>
  <c r="H12" i="10"/>
  <c r="I12" i="10"/>
  <c r="G13" i="10"/>
  <c r="H13" i="10"/>
  <c r="I13" i="10"/>
  <c r="G14" i="10"/>
  <c r="H14" i="10"/>
  <c r="I14" i="10"/>
  <c r="G15" i="10"/>
  <c r="H15" i="10"/>
  <c r="I15" i="10"/>
  <c r="G16" i="10"/>
  <c r="H16" i="10"/>
  <c r="I16" i="10"/>
  <c r="G17" i="10"/>
  <c r="H17" i="10"/>
  <c r="I17" i="10"/>
  <c r="G18" i="10"/>
  <c r="H18" i="10"/>
  <c r="I18" i="10"/>
  <c r="G19" i="10"/>
  <c r="H19" i="10"/>
  <c r="I19" i="10"/>
  <c r="G20" i="10"/>
  <c r="H20" i="10"/>
  <c r="I20" i="10"/>
  <c r="G21" i="10"/>
  <c r="H21" i="10"/>
  <c r="I21" i="10"/>
  <c r="H2" i="10"/>
  <c r="I2" i="10"/>
  <c r="G2" i="10"/>
  <c r="F4" i="9"/>
  <c r="F5" i="9"/>
  <c r="F6" i="9"/>
  <c r="F7" i="9"/>
  <c r="F8" i="9"/>
  <c r="F9" i="9"/>
  <c r="F3" i="9"/>
  <c r="L5" i="7"/>
  <c r="M5" i="7"/>
  <c r="N5" i="7"/>
  <c r="L6" i="7"/>
  <c r="M6" i="7"/>
  <c r="N6" i="7"/>
  <c r="L7" i="7"/>
  <c r="M7" i="7"/>
  <c r="N7" i="7"/>
  <c r="L8" i="7"/>
  <c r="M8" i="7"/>
  <c r="N8" i="7"/>
  <c r="L9" i="7"/>
  <c r="M9" i="7"/>
  <c r="N9" i="7"/>
  <c r="L10" i="7"/>
  <c r="M10" i="7"/>
  <c r="N10" i="7"/>
  <c r="L11" i="7"/>
  <c r="M11" i="7"/>
  <c r="N11" i="7"/>
  <c r="L12" i="7"/>
  <c r="M12" i="7"/>
  <c r="N12" i="7"/>
  <c r="L13" i="7"/>
  <c r="M13" i="7"/>
  <c r="N13" i="7"/>
  <c r="L14" i="7"/>
  <c r="M14" i="7"/>
  <c r="N14" i="7"/>
  <c r="L15" i="7"/>
  <c r="M15" i="7"/>
  <c r="N15" i="7"/>
  <c r="L16" i="7"/>
  <c r="M16" i="7"/>
  <c r="N16" i="7"/>
  <c r="L17" i="7"/>
  <c r="M17" i="7"/>
  <c r="N17" i="7"/>
  <c r="L18" i="7"/>
  <c r="M18" i="7"/>
  <c r="N18" i="7"/>
  <c r="L19" i="7"/>
  <c r="M19" i="7"/>
  <c r="N19" i="7"/>
  <c r="L20" i="7"/>
  <c r="M20" i="7"/>
  <c r="N20" i="7"/>
  <c r="L21" i="7"/>
  <c r="M21" i="7"/>
  <c r="N21" i="7"/>
  <c r="L22" i="7"/>
  <c r="M22" i="7"/>
  <c r="N22" i="7"/>
  <c r="L23" i="7"/>
  <c r="M23" i="7"/>
  <c r="N23" i="7"/>
  <c r="L24" i="7"/>
  <c r="M24" i="7"/>
  <c r="N24" i="7"/>
  <c r="L25" i="7"/>
  <c r="M25" i="7"/>
  <c r="N25" i="7"/>
  <c r="L26" i="7"/>
  <c r="M26" i="7"/>
  <c r="N26" i="7"/>
  <c r="L27" i="7"/>
  <c r="M27" i="7"/>
  <c r="N27" i="7"/>
  <c r="L28" i="7"/>
  <c r="M28" i="7"/>
  <c r="N28" i="7"/>
  <c r="L29" i="7"/>
  <c r="M29" i="7"/>
  <c r="N29" i="7"/>
  <c r="L30" i="7"/>
  <c r="M30" i="7"/>
  <c r="N30" i="7"/>
  <c r="L31" i="7"/>
  <c r="M31" i="7"/>
  <c r="N31" i="7"/>
  <c r="L32" i="7"/>
  <c r="M32" i="7"/>
  <c r="N32" i="7"/>
  <c r="L33" i="7"/>
  <c r="M33" i="7"/>
  <c r="N33" i="7"/>
  <c r="L34" i="7"/>
  <c r="M34" i="7"/>
  <c r="N34" i="7"/>
  <c r="L35" i="7"/>
  <c r="M35" i="7"/>
  <c r="N35" i="7"/>
  <c r="L36" i="7"/>
  <c r="M36" i="7"/>
  <c r="N36" i="7"/>
  <c r="L37" i="7"/>
  <c r="M37" i="7"/>
  <c r="N37" i="7"/>
  <c r="M4" i="7"/>
  <c r="N4" i="7"/>
  <c r="L4" i="7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4" i="6"/>
  <c r="J15" i="6"/>
  <c r="K15" i="6"/>
  <c r="J16" i="6"/>
  <c r="K16" i="6"/>
  <c r="J17" i="6"/>
  <c r="K17" i="6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K4" i="6"/>
  <c r="J4" i="6"/>
  <c r="E6" i="5"/>
  <c r="E7" i="5"/>
  <c r="E8" i="5"/>
  <c r="E9" i="5"/>
  <c r="E10" i="5"/>
  <c r="E5" i="5"/>
  <c r="C6" i="5"/>
  <c r="D6" i="5"/>
  <c r="C7" i="5"/>
  <c r="D7" i="5"/>
  <c r="C8" i="5"/>
  <c r="D8" i="5"/>
  <c r="C9" i="5"/>
  <c r="D9" i="5"/>
  <c r="C10" i="5"/>
  <c r="D10" i="5"/>
  <c r="D5" i="5"/>
  <c r="C5" i="5"/>
  <c r="D5" i="4" l="1"/>
  <c r="D6" i="4"/>
  <c r="D7" i="4"/>
  <c r="D8" i="4"/>
  <c r="D9" i="4"/>
  <c r="D4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4" i="2"/>
  <c r="C12" i="1"/>
  <c r="B2" i="1"/>
  <c r="D2" i="1"/>
  <c r="C2" i="1"/>
  <c r="E13" i="5" l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1" i="1"/>
  <c r="C9" i="1"/>
  <c r="C8" i="1"/>
  <c r="C7" i="1"/>
</calcChain>
</file>

<file path=xl/sharedStrings.xml><?xml version="1.0" encoding="utf-8"?>
<sst xmlns="http://schemas.openxmlformats.org/spreadsheetml/2006/main" count="769" uniqueCount="520">
  <si>
    <t>School</t>
  </si>
  <si>
    <t>Cost</t>
  </si>
  <si>
    <t>Salary</t>
  </si>
  <si>
    <t>Enroll %</t>
  </si>
  <si>
    <t>FIND THE VLAUES OF INPUT SCHOOL</t>
  </si>
  <si>
    <t>DUKE</t>
  </si>
  <si>
    <t>Accept %</t>
  </si>
  <si>
    <t>GMAT</t>
  </si>
  <si>
    <t>GPA</t>
  </si>
  <si>
    <t>Minority pct</t>
  </si>
  <si>
    <t>Non-U.S. pct</t>
  </si>
  <si>
    <t>Female %</t>
  </si>
  <si>
    <t>Stanford</t>
  </si>
  <si>
    <t>Harvard</t>
  </si>
  <si>
    <t>Penn</t>
  </si>
  <si>
    <t>MIT</t>
  </si>
  <si>
    <t>Northwestern</t>
  </si>
  <si>
    <t>Duke</t>
  </si>
  <si>
    <t>Chicago</t>
  </si>
  <si>
    <t>Columbia</t>
  </si>
  <si>
    <t>Dartmouth</t>
  </si>
  <si>
    <t>Berkeley</t>
  </si>
  <si>
    <t>Michigan</t>
  </si>
  <si>
    <t>Virginia</t>
  </si>
  <si>
    <t>NYU</t>
  </si>
  <si>
    <t>Yale</t>
  </si>
  <si>
    <t>UCLA</t>
  </si>
  <si>
    <t>Cornell</t>
  </si>
  <si>
    <t>North Carolina</t>
  </si>
  <si>
    <t>Carnegie-Mellon</t>
  </si>
  <si>
    <t>Texas</t>
  </si>
  <si>
    <t>USC</t>
  </si>
  <si>
    <t>Indiana</t>
  </si>
  <si>
    <t>Emory</t>
  </si>
  <si>
    <t>Rochester</t>
  </si>
  <si>
    <t>Georgetown</t>
  </si>
  <si>
    <t>Michigan State</t>
  </si>
  <si>
    <t>Ohio State</t>
  </si>
  <si>
    <t>Minnesota</t>
  </si>
  <si>
    <t>FIND OUT SHOW</t>
  </si>
  <si>
    <t>Character</t>
  </si>
  <si>
    <t>Show</t>
  </si>
  <si>
    <t>Carlton Lassiter </t>
  </si>
  <si>
    <t>Maddie Hayes </t>
  </si>
  <si>
    <t>Moonlighting</t>
  </si>
  <si>
    <t>Dale Cooper</t>
  </si>
  <si>
    <t>Sam Malone </t>
  </si>
  <si>
    <t>Cheers</t>
  </si>
  <si>
    <t>David Addison </t>
  </si>
  <si>
    <t>Dexter Morgan </t>
  </si>
  <si>
    <t>Adrian Monk</t>
  </si>
  <si>
    <t>Monk</t>
  </si>
  <si>
    <t>Dr. Elliot Reid </t>
  </si>
  <si>
    <t>Jeff Greene </t>
  </si>
  <si>
    <t>Curb Your Enthusiasm</t>
  </si>
  <si>
    <t>Dr. Gregory House </t>
  </si>
  <si>
    <t>Norm Peterson </t>
  </si>
  <si>
    <t>Edmund Blackadder </t>
  </si>
  <si>
    <t>Matt Saracen </t>
  </si>
  <si>
    <t>Friday Night Lights</t>
  </si>
  <si>
    <t>Eric Cartman </t>
  </si>
  <si>
    <t>Barney Stinson </t>
  </si>
  <si>
    <t>How I Met Your Mother</t>
  </si>
  <si>
    <t>Fox Mulder </t>
  </si>
  <si>
    <t>Bill McNeal </t>
  </si>
  <si>
    <t>NewsRadio</t>
  </si>
  <si>
    <t>George Costanza </t>
  </si>
  <si>
    <t>Harry Solomon </t>
  </si>
  <si>
    <t>3rd Rock from the Sun</t>
  </si>
  <si>
    <t>Gloria Pritchett </t>
  </si>
  <si>
    <t>Kim Bauer </t>
  </si>
  <si>
    <t>Hank Hill </t>
  </si>
  <si>
    <t>Modern Family</t>
  </si>
  <si>
    <t>Harold T. Stone</t>
  </si>
  <si>
    <t>Jack Bauer </t>
  </si>
  <si>
    <t>Seinfeld</t>
  </si>
  <si>
    <t>Homer Simpson </t>
  </si>
  <si>
    <t>Phil Dunphy </t>
  </si>
  <si>
    <t>Hurley Reyes </t>
  </si>
  <si>
    <t>Lynette Scavo </t>
  </si>
  <si>
    <t>Desperate Housewives</t>
  </si>
  <si>
    <t>King of the Hill</t>
  </si>
  <si>
    <t>Jack Malone </t>
  </si>
  <si>
    <t>Veronica Mars </t>
  </si>
  <si>
    <t>Veronica Mars</t>
  </si>
  <si>
    <t>Walter White </t>
  </si>
  <si>
    <t>Breaking Bad</t>
  </si>
  <si>
    <t>Jim Ignatowski</t>
  </si>
  <si>
    <t>Shawn Spencer </t>
  </si>
  <si>
    <t>Psych</t>
  </si>
  <si>
    <t>John Locke </t>
  </si>
  <si>
    <t>Bob Kelso</t>
  </si>
  <si>
    <t>Scrubs</t>
  </si>
  <si>
    <t>Monica Bing </t>
  </si>
  <si>
    <t>Friends</t>
  </si>
  <si>
    <t>Liz Lemon </t>
  </si>
  <si>
    <t>Night Court</t>
  </si>
  <si>
    <t>Lorelai Gilmore </t>
  </si>
  <si>
    <t>South Park</t>
  </si>
  <si>
    <t>Mark Green</t>
  </si>
  <si>
    <t>ER</t>
  </si>
  <si>
    <t>Red Forman </t>
  </si>
  <si>
    <t>That '70s Show</t>
  </si>
  <si>
    <t>Phillip J. Fry </t>
  </si>
  <si>
    <t>Futurama</t>
  </si>
  <si>
    <t>Natalie Teeger </t>
  </si>
  <si>
    <t>Robert Barone </t>
  </si>
  <si>
    <t>Everybody Loves Raymond</t>
  </si>
  <si>
    <t>Niles Crane </t>
  </si>
  <si>
    <t>Benjamin Linus </t>
  </si>
  <si>
    <t>Lost</t>
  </si>
  <si>
    <t>The X Files</t>
  </si>
  <si>
    <t>Without A Trace</t>
  </si>
  <si>
    <t>Taxi</t>
  </si>
  <si>
    <t>The Simpsons</t>
  </si>
  <si>
    <t>Blackadder</t>
  </si>
  <si>
    <t>Carlton Banks </t>
  </si>
  <si>
    <t>The Fresh Prince of Bel-Air</t>
  </si>
  <si>
    <t>Russ Geller</t>
  </si>
  <si>
    <t>Twin Peaks</t>
  </si>
  <si>
    <t>House, M.D.</t>
  </si>
  <si>
    <t>Dexter</t>
  </si>
  <si>
    <t>Gilmore Girls</t>
  </si>
  <si>
    <t>Frasier</t>
  </si>
  <si>
    <t>30 Rock</t>
  </si>
  <si>
    <t>Sheldon Cooper </t>
  </si>
  <si>
    <t>The Big Bang Theory</t>
  </si>
  <si>
    <t>F</t>
  </si>
  <si>
    <t>D</t>
  </si>
  <si>
    <t>C</t>
  </si>
  <si>
    <t>B</t>
  </si>
  <si>
    <t>A</t>
  </si>
  <si>
    <t>GET THE POLITICAL PARTY NAME</t>
  </si>
  <si>
    <t>First</t>
  </si>
  <si>
    <t>Last</t>
  </si>
  <si>
    <t>Pcode</t>
  </si>
  <si>
    <t>Political Party</t>
  </si>
  <si>
    <t>PARTY CODE</t>
  </si>
  <si>
    <t>NAME</t>
  </si>
  <si>
    <t>Smith</t>
  </si>
  <si>
    <t>Fred</t>
  </si>
  <si>
    <t>Green</t>
  </si>
  <si>
    <t>Robbins</t>
  </si>
  <si>
    <t>Terry</t>
  </si>
  <si>
    <t>Reform</t>
  </si>
  <si>
    <t>O'Neill</t>
  </si>
  <si>
    <t>Susan</t>
  </si>
  <si>
    <t>Whig</t>
  </si>
  <si>
    <t>Parker</t>
  </si>
  <si>
    <t>Scott</t>
  </si>
  <si>
    <t>Islamic Political Party of America</t>
  </si>
  <si>
    <t>Perkins</t>
  </si>
  <si>
    <t>Ralph</t>
  </si>
  <si>
    <t>Rock &amp; Roll</t>
  </si>
  <si>
    <t>Talbot</t>
  </si>
  <si>
    <t>Angie</t>
  </si>
  <si>
    <t>Natural Law</t>
  </si>
  <si>
    <t>Middle Class Pty</t>
  </si>
  <si>
    <t>Humanist</t>
  </si>
  <si>
    <t>Pragmatic</t>
  </si>
  <si>
    <t>Conscious American African Party</t>
  </si>
  <si>
    <t>Parliament Party</t>
  </si>
  <si>
    <t>United Conscious Builders of the Dream Party</t>
  </si>
  <si>
    <t>The Egalitarian Party</t>
  </si>
  <si>
    <t>The Humanitarian Party</t>
  </si>
  <si>
    <t>Scientifically Evolving University Party</t>
  </si>
  <si>
    <t>God, Truth &amp; Love Party</t>
  </si>
  <si>
    <t>Superhappy Party</t>
  </si>
  <si>
    <t>Working Families  Party</t>
  </si>
  <si>
    <t>Democratic</t>
  </si>
  <si>
    <t>Republican</t>
  </si>
  <si>
    <t>Decline to State</t>
  </si>
  <si>
    <t>American Independent</t>
  </si>
  <si>
    <t>E</t>
  </si>
  <si>
    <t>Citizen Party</t>
  </si>
  <si>
    <t>Communist</t>
  </si>
  <si>
    <t>G</t>
  </si>
  <si>
    <t>Conservative</t>
  </si>
  <si>
    <t>H</t>
  </si>
  <si>
    <t>Environmentalist</t>
  </si>
  <si>
    <t>I</t>
  </si>
  <si>
    <t>Ind. Progressive</t>
  </si>
  <si>
    <t>J</t>
  </si>
  <si>
    <t>Liberal</t>
  </si>
  <si>
    <t>K</t>
  </si>
  <si>
    <t>Peace &amp; Freedom</t>
  </si>
  <si>
    <t>L</t>
  </si>
  <si>
    <t>Prohibition</t>
  </si>
  <si>
    <t>M</t>
  </si>
  <si>
    <t>New Economy</t>
  </si>
  <si>
    <t>N</t>
  </si>
  <si>
    <t>Socialist</t>
  </si>
  <si>
    <t>O</t>
  </si>
  <si>
    <t>Socialist Labor</t>
  </si>
  <si>
    <t>P</t>
  </si>
  <si>
    <t>Pot Party</t>
  </si>
  <si>
    <t>Q</t>
  </si>
  <si>
    <t>Libertarian</t>
  </si>
  <si>
    <t>R</t>
  </si>
  <si>
    <t>Amer. Natl. Socialist</t>
  </si>
  <si>
    <t>S</t>
  </si>
  <si>
    <t>Poor People’s Party</t>
  </si>
  <si>
    <t>T</t>
  </si>
  <si>
    <t>Free</t>
  </si>
  <si>
    <t>U</t>
  </si>
  <si>
    <t>National</t>
  </si>
  <si>
    <t>V</t>
  </si>
  <si>
    <t>Constitution Party</t>
  </si>
  <si>
    <t>W</t>
  </si>
  <si>
    <t>Vision</t>
  </si>
  <si>
    <t>X</t>
  </si>
  <si>
    <t>Puritan</t>
  </si>
  <si>
    <t>Y</t>
  </si>
  <si>
    <t>Federal</t>
  </si>
  <si>
    <t>Z</t>
  </si>
  <si>
    <t>Misc.</t>
  </si>
  <si>
    <t>GET THE DETAILS AND CALCULATE TOTAL AMOUNT</t>
  </si>
  <si>
    <t>Item No.</t>
  </si>
  <si>
    <t>Description</t>
  </si>
  <si>
    <t>Unit Price</t>
  </si>
  <si>
    <t>Qty</t>
  </si>
  <si>
    <t>Amount</t>
  </si>
  <si>
    <t>Executive Swivel Chair</t>
  </si>
  <si>
    <t>Low-back Side Arm Chair</t>
  </si>
  <si>
    <t>Std Secretary Chair</t>
  </si>
  <si>
    <t>Deluxe Secretary Chair</t>
  </si>
  <si>
    <t>Classic Side Arm Chair</t>
  </si>
  <si>
    <t>Double Pedestal Desk</t>
  </si>
  <si>
    <t>Single Pedestal Desk</t>
  </si>
  <si>
    <t>Executive Filing Cabinet</t>
  </si>
  <si>
    <t>Executive Wastebasket</t>
  </si>
  <si>
    <t>Total:</t>
  </si>
  <si>
    <t>Contemporary Bookcase</t>
  </si>
  <si>
    <t>GET EMP DETAILS</t>
  </si>
  <si>
    <t>EMP ID</t>
  </si>
  <si>
    <t>SALARY</t>
  </si>
  <si>
    <t>HIRE MONTH</t>
  </si>
  <si>
    <t>ZONE</t>
  </si>
  <si>
    <t>AMAN</t>
  </si>
  <si>
    <t>JAN</t>
  </si>
  <si>
    <t>AKASH</t>
  </si>
  <si>
    <t>MAR</t>
  </si>
  <si>
    <t>AJAY</t>
  </si>
  <si>
    <t>AUG</t>
  </si>
  <si>
    <t>RAM</t>
  </si>
  <si>
    <t>DEC</t>
  </si>
  <si>
    <t>RAJ</t>
  </si>
  <si>
    <t>SEP</t>
  </si>
  <si>
    <t>SIMRAN</t>
  </si>
  <si>
    <t>GARIMA</t>
  </si>
  <si>
    <t>PURNIMA</t>
  </si>
  <si>
    <t>WEST</t>
  </si>
  <si>
    <t>RAHUL</t>
  </si>
  <si>
    <t>EAST</t>
  </si>
  <si>
    <t>RAJAT</t>
  </si>
  <si>
    <t>SOUTH</t>
  </si>
  <si>
    <t>RACHIT</t>
  </si>
  <si>
    <t>NISHA</t>
  </si>
  <si>
    <t>NORTH</t>
  </si>
  <si>
    <t>BHAWNA</t>
  </si>
  <si>
    <t>HARRY</t>
  </si>
  <si>
    <t>GET THE DETAILS FROM TABLE-1,TABLE-2,TABLE-3,TABLE-4</t>
  </si>
  <si>
    <t>TABLE -1</t>
  </si>
  <si>
    <t>TABLE -2</t>
  </si>
  <si>
    <t>ID</t>
  </si>
  <si>
    <t>Employee Name</t>
  </si>
  <si>
    <t>Department</t>
  </si>
  <si>
    <t>FIH0018</t>
  </si>
  <si>
    <t>Michal Jolie</t>
  </si>
  <si>
    <t>Quality</t>
  </si>
  <si>
    <t>FIH0003</t>
  </si>
  <si>
    <t>Angelina Osbourne</t>
  </si>
  <si>
    <t>Sales</t>
  </si>
  <si>
    <t>FIH0001</t>
  </si>
  <si>
    <t>FIH0020</t>
  </si>
  <si>
    <t>Ozzy Dickens</t>
  </si>
  <si>
    <t>Logistics</t>
  </si>
  <si>
    <t>FIH0012</t>
  </si>
  <si>
    <t>Howard Simpson</t>
  </si>
  <si>
    <t>FIH0002</t>
  </si>
  <si>
    <t>FIH0022</t>
  </si>
  <si>
    <t>Paris Winfrey</t>
  </si>
  <si>
    <t>Alfred Hawking</t>
  </si>
  <si>
    <t>Administration</t>
  </si>
  <si>
    <t>FIH0014</t>
  </si>
  <si>
    <t>John Jennings</t>
  </si>
  <si>
    <t>FIH0027</t>
  </si>
  <si>
    <t>Mathias Nadaluti</t>
  </si>
  <si>
    <t>Analytics</t>
  </si>
  <si>
    <t>FIH0004</t>
  </si>
  <si>
    <t>FIH0019</t>
  </si>
  <si>
    <t>Oprah Hilton</t>
  </si>
  <si>
    <t>Purchase</t>
  </si>
  <si>
    <t>Andy Richards</t>
  </si>
  <si>
    <t>FIH0005</t>
  </si>
  <si>
    <t>FIH0011</t>
  </si>
  <si>
    <t>Gloria Silverstone</t>
  </si>
  <si>
    <t>Betty Anan</t>
  </si>
  <si>
    <t>FIH0006</t>
  </si>
  <si>
    <t>FIH0021</t>
  </si>
  <si>
    <t>Ozzy Rowling</t>
  </si>
  <si>
    <t>Bill Biggs</t>
  </si>
  <si>
    <t>FIH0007</t>
  </si>
  <si>
    <t>FIH0025</t>
  </si>
  <si>
    <t>Colin Sanderson</t>
  </si>
  <si>
    <t>Finance</t>
  </si>
  <si>
    <t>FIH0010</t>
  </si>
  <si>
    <t>George Marley</t>
  </si>
  <si>
    <t>Purchasing</t>
  </si>
  <si>
    <t>FIH0008</t>
  </si>
  <si>
    <t>FIH0034</t>
  </si>
  <si>
    <t>Britney Pauls</t>
  </si>
  <si>
    <t>FIH0013</t>
  </si>
  <si>
    <t>JK Spears</t>
  </si>
  <si>
    <t>FIH0009</t>
  </si>
  <si>
    <t>TABLE -3</t>
  </si>
  <si>
    <t>TABLE -4</t>
  </si>
  <si>
    <t>FIH0026</t>
  </si>
  <si>
    <t>Thomas Martin</t>
  </si>
  <si>
    <t>Charles Davis</t>
  </si>
  <si>
    <t>HR</t>
  </si>
  <si>
    <t>Charles Monroe</t>
  </si>
  <si>
    <t>FIH0028</t>
  </si>
  <si>
    <t>Betty Hilton</t>
  </si>
  <si>
    <t>Dan Armstrong</t>
  </si>
  <si>
    <t>FIH0029</t>
  </si>
  <si>
    <t>George Bush</t>
  </si>
  <si>
    <t>FIH0015</t>
  </si>
  <si>
    <t>Johnny Caine</t>
  </si>
  <si>
    <t>FIH0030</t>
  </si>
  <si>
    <t>Brett Lee</t>
  </si>
  <si>
    <t>FIH0016</t>
  </si>
  <si>
    <t>FIH0017</t>
  </si>
  <si>
    <t>Michael Hicks</t>
  </si>
  <si>
    <t>FIH0031</t>
  </si>
  <si>
    <t>Natalie Jolie</t>
  </si>
  <si>
    <t>Johnny Roberts</t>
  </si>
  <si>
    <t>FIH0032</t>
  </si>
  <si>
    <t>Kavita Murthy</t>
  </si>
  <si>
    <t>Chuck West</t>
  </si>
  <si>
    <t>FIH0033</t>
  </si>
  <si>
    <t>Mark Simpson</t>
  </si>
  <si>
    <t>FIH0024</t>
  </si>
  <si>
    <t>Ronnie Bush</t>
  </si>
  <si>
    <t>FIH0023</t>
  </si>
  <si>
    <t>Paul Goodman</t>
  </si>
  <si>
    <t>MOBILE NUMBER</t>
  </si>
  <si>
    <t>BILL NUMBER</t>
  </si>
  <si>
    <t>AREA</t>
  </si>
  <si>
    <t>SALES</t>
  </si>
  <si>
    <t>A101</t>
  </si>
  <si>
    <t>A090</t>
  </si>
  <si>
    <t>A987</t>
  </si>
  <si>
    <t>A010</t>
  </si>
  <si>
    <t>A898</t>
  </si>
  <si>
    <t>A000</t>
  </si>
  <si>
    <t>A111</t>
  </si>
  <si>
    <t>PUNE</t>
  </si>
  <si>
    <t>GOA</t>
  </si>
  <si>
    <t>BANGLORE</t>
  </si>
  <si>
    <t>KARNATKA</t>
  </si>
  <si>
    <t>GRADE</t>
  </si>
  <si>
    <t>POOR</t>
  </si>
  <si>
    <t>AVERAGE</t>
  </si>
  <si>
    <t>GOOD</t>
  </si>
  <si>
    <t>BEST</t>
  </si>
  <si>
    <t>EXCELLENT</t>
  </si>
  <si>
    <t>Serial No</t>
  </si>
  <si>
    <t>Operator</t>
  </si>
  <si>
    <t>Circle</t>
  </si>
  <si>
    <t xml:space="preserve">Location </t>
  </si>
  <si>
    <t>1108113999, 1108403628</t>
  </si>
  <si>
    <t>Aircel</t>
  </si>
  <si>
    <t>Assam</t>
  </si>
  <si>
    <t>Guwahati</t>
  </si>
  <si>
    <t>1108361601, 1108361525</t>
  </si>
  <si>
    <t>Orissa</t>
  </si>
  <si>
    <t>Bhubneshwar</t>
  </si>
  <si>
    <t>1108227601, 1108039774, 1108227592</t>
  </si>
  <si>
    <t>Reliance</t>
  </si>
  <si>
    <t>AP</t>
  </si>
  <si>
    <t>Hyderabad</t>
  </si>
  <si>
    <t>1108465261, 1108465430</t>
  </si>
  <si>
    <t>1107389435, 1108100000</t>
  </si>
  <si>
    <t>Karantaka</t>
  </si>
  <si>
    <t>Banglore</t>
  </si>
  <si>
    <t>1108403665, 1109040703</t>
  </si>
  <si>
    <t>1107401031, 1108361517</t>
  </si>
  <si>
    <t>Orrja</t>
  </si>
  <si>
    <t>UPWest</t>
  </si>
  <si>
    <t>Merrut</t>
  </si>
  <si>
    <t>1108113875, 1107304361</t>
  </si>
  <si>
    <t>Tata</t>
  </si>
  <si>
    <t>West Bengal</t>
  </si>
  <si>
    <t>Kolkata</t>
  </si>
  <si>
    <t>1107304396, 1107400912</t>
  </si>
  <si>
    <t>Vodafone</t>
  </si>
  <si>
    <t>Bihar</t>
  </si>
  <si>
    <t>bihar</t>
  </si>
  <si>
    <t>1107400975, 1108200000</t>
  </si>
  <si>
    <t>1108039685 , 1107126280 , 1108114052</t>
  </si>
  <si>
    <t>Asansol</t>
  </si>
  <si>
    <t>1108039685</t>
  </si>
  <si>
    <t>1107368290 , 106384604 , 1107209977</t>
  </si>
  <si>
    <t>1107368290</t>
  </si>
  <si>
    <t>1108289348, 1108392433</t>
  </si>
  <si>
    <t>Idea</t>
  </si>
  <si>
    <t>Delhi</t>
  </si>
  <si>
    <t>Vikas Puri</t>
  </si>
  <si>
    <t>1107304368,1107304392, 1107304472</t>
  </si>
  <si>
    <t>1106489994</t>
  </si>
  <si>
    <t>1106489994 , 1107126272</t>
  </si>
  <si>
    <t>Airtel</t>
  </si>
  <si>
    <t>UP-East</t>
  </si>
  <si>
    <t>1108113940, 1108039738</t>
  </si>
  <si>
    <t>UP-West</t>
  </si>
  <si>
    <t>Lucknow</t>
  </si>
  <si>
    <t>1106489974, 1107389365</t>
  </si>
  <si>
    <t>Patna</t>
  </si>
  <si>
    <t>1108403628</t>
  </si>
  <si>
    <t>1108361525</t>
  </si>
  <si>
    <t>1108465430</t>
  </si>
  <si>
    <t>1108100000</t>
  </si>
  <si>
    <t>1109040703</t>
  </si>
  <si>
    <t>1108361517</t>
  </si>
  <si>
    <t>1107304361</t>
  </si>
  <si>
    <t>1107400912</t>
  </si>
  <si>
    <t>1108200000</t>
  </si>
  <si>
    <t>1108392433</t>
  </si>
  <si>
    <t>1107304472</t>
  </si>
  <si>
    <t>1108039738</t>
  </si>
  <si>
    <t>1107389365</t>
  </si>
  <si>
    <t>1108227592</t>
  </si>
  <si>
    <t>1107126280</t>
  </si>
  <si>
    <t>106384604</t>
  </si>
  <si>
    <t>1107126272</t>
  </si>
  <si>
    <t>Top 3 Paid Employees</t>
  </si>
  <si>
    <t>Amarjeet Singh</t>
  </si>
  <si>
    <t>Sachin Kumar Sharma</t>
  </si>
  <si>
    <t>Mohit Malik</t>
  </si>
  <si>
    <t>Deepak Sharma</t>
  </si>
  <si>
    <t>Kratika Bhatnagar</t>
  </si>
  <si>
    <t>Gaurav Khanna</t>
  </si>
  <si>
    <t>Asif Khan</t>
  </si>
  <si>
    <t>Ajaj Kumar Rana</t>
  </si>
  <si>
    <t>Aakash Bhutani</t>
  </si>
  <si>
    <t>Vivek Pant</t>
  </si>
  <si>
    <t>Pallavi Srivastava</t>
  </si>
  <si>
    <t>Anoop Kumar Singh</t>
  </si>
  <si>
    <t>Shivam Kumar Gupta</t>
  </si>
  <si>
    <t>Akhil Gupta</t>
  </si>
  <si>
    <t>Niranjan Singh Jagde</t>
  </si>
  <si>
    <t>Amit Rana</t>
  </si>
  <si>
    <t>Suraj Sharma</t>
  </si>
  <si>
    <t>Iftekhar Naiyar</t>
  </si>
  <si>
    <t>Rahul Aggarwal</t>
  </si>
  <si>
    <t>Pradeep Sharma</t>
  </si>
  <si>
    <t>Rajpal Singh Vagar</t>
  </si>
  <si>
    <t>Sonam Singh</t>
  </si>
  <si>
    <t>KM Roli Yadav</t>
  </si>
  <si>
    <t>Amandeep Singh</t>
  </si>
  <si>
    <t>Sunanda Khosa</t>
  </si>
  <si>
    <t>Richa Krishnatri</t>
  </si>
  <si>
    <t>Ullas Pant</t>
  </si>
  <si>
    <t>Arvind Panday</t>
  </si>
  <si>
    <t>Tasleem Yawar</t>
  </si>
  <si>
    <t>Sanjeet Upadhyay</t>
  </si>
  <si>
    <t>Vinay Lakhmani</t>
  </si>
  <si>
    <t>Isha Gupta</t>
  </si>
  <si>
    <t>Chhavi Tiwari</t>
  </si>
  <si>
    <t>Nitin Kansal</t>
  </si>
  <si>
    <t>Rachna Sharma</t>
  </si>
  <si>
    <t>Vineeta Keshari</t>
  </si>
  <si>
    <t>HemKrishan Bora</t>
  </si>
  <si>
    <t>Amit Kumar Verma</t>
  </si>
  <si>
    <t>Karan Tickoo</t>
  </si>
  <si>
    <t>Pawan Kr Saini</t>
  </si>
  <si>
    <t>Udit Kr Kochhar</t>
  </si>
  <si>
    <t>Jyoti Srivastva</t>
  </si>
  <si>
    <t>Kakul Gupta</t>
  </si>
  <si>
    <t>Sunil Dutt</t>
  </si>
  <si>
    <t>Ravi Kumar</t>
  </si>
  <si>
    <t>Sanjeev Saran</t>
  </si>
  <si>
    <t>Jalal Khan</t>
  </si>
  <si>
    <t>Shakti Sharma</t>
  </si>
  <si>
    <t>Lekha Chaturvedi</t>
  </si>
  <si>
    <t>Durgesh Mishra</t>
  </si>
  <si>
    <t>Kashif Ahmed</t>
  </si>
  <si>
    <t>Sayed Yawer Abbas</t>
  </si>
  <si>
    <t>Ravi Jayant</t>
  </si>
  <si>
    <t>Vikas Verma</t>
  </si>
  <si>
    <t>Raubika Pal</t>
  </si>
  <si>
    <t>Shah Alam</t>
  </si>
  <si>
    <t>Employee ID</t>
  </si>
  <si>
    <t>Designation</t>
  </si>
  <si>
    <t>Location</t>
  </si>
  <si>
    <t>A0001</t>
  </si>
  <si>
    <t>Executive</t>
  </si>
  <si>
    <t>A0002</t>
  </si>
  <si>
    <t>Manager</t>
  </si>
  <si>
    <t>A0003</t>
  </si>
  <si>
    <t>Sr. Manager</t>
  </si>
  <si>
    <t>A0004</t>
  </si>
  <si>
    <t>AVP</t>
  </si>
  <si>
    <t>A0005</t>
  </si>
  <si>
    <t>A0006</t>
  </si>
  <si>
    <t>Dy General Manager</t>
  </si>
  <si>
    <t>A0007</t>
  </si>
  <si>
    <t>A0008</t>
  </si>
  <si>
    <t>Asst. Manager</t>
  </si>
  <si>
    <t>A0009</t>
  </si>
  <si>
    <t>Sr. Executive</t>
  </si>
  <si>
    <t>A0010</t>
  </si>
  <si>
    <t>Trainee</t>
  </si>
  <si>
    <t>Noida</t>
  </si>
  <si>
    <t>Gurgaon</t>
  </si>
  <si>
    <t>Mumbai</t>
  </si>
  <si>
    <t>Operation</t>
  </si>
  <si>
    <t>Ghaziabad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</si>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</sst>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 &quot;₹&quot;\ * #,##0.00_ ;_ &quot;₹&quot;\ * \-#,##0.00_ ;_ &quot;₹&quot;\ * &quot;-&quot;??_ ;_ @_ "/>
    <numFmt numFmtId="164" formatCode="&quot;$&quot;#,##0.00_);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0.0%"/>
    <numFmt numFmtId="168" formatCode="&quot;$&quot;#,##0.00_);\(&quot;$&quot;#,##0.00\);"/>
  </numFmts>
  <fonts count="23"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2"/>
      <color indexed="9"/>
      <name val="Geneva"/>
    </font>
    <font>
      <sz val="12"/>
      <name val="Arial"/>
      <family val="2"/>
    </font>
    <font>
      <sz val="12"/>
      <name val="Geneva"/>
    </font>
    <font>
      <b/>
      <sz val="12"/>
      <name val="Geneva"/>
    </font>
    <font>
      <b/>
      <sz val="16"/>
      <color theme="0"/>
      <name val="Tahoma"/>
      <family val="2"/>
    </font>
    <font>
      <sz val="16"/>
      <color theme="0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b/>
      <sz val="14"/>
      <color theme="0"/>
      <name val="Tahoma"/>
      <family val="2"/>
    </font>
    <font>
      <sz val="16"/>
      <color theme="1"/>
      <name val="Tahoma"/>
      <family val="2"/>
    </font>
    <font>
      <sz val="14"/>
      <color theme="1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/>
    </fill>
    <fill>
      <patternFill patternType="mediumGray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theme="5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5"/>
      </patternFill>
    </fill>
    <fill>
      <patternFill patternType="solid">
        <fgColor theme="7" tint="0.79998168889431442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5"/>
      </patternFill>
    </fill>
    <fill>
      <patternFill patternType="solid">
        <fgColor rgb="FFC00000"/>
        <bgColor theme="5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theme="5" tint="0.79998168889431442"/>
        <bgColor theme="0" tint="-0.14999847407452621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/>
      <bottom style="thin">
        <color theme="6" tint="0.39994506668294322"/>
      </bottom>
      <diagonal/>
    </border>
    <border>
      <left style="thin">
        <color theme="6" tint="0.39994506668294322"/>
      </left>
      <right/>
      <top/>
      <bottom style="thin">
        <color theme="6" tint="0.39994506668294322"/>
      </bottom>
      <diagonal/>
    </border>
    <border>
      <left/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/>
      <top style="thin">
        <color theme="6" tint="0.39994506668294322"/>
      </top>
      <bottom style="thin">
        <color theme="6" tint="0.399945066682943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0" fontId="7" fillId="0" borderId="0"/>
    <xf numFmtId="165" fontId="11" fillId="0" borderId="0" applyFont="0" applyFill="0" applyBorder="0" applyAlignment="0" applyProtection="0"/>
    <xf numFmtId="0" fontId="1" fillId="0" borderId="0"/>
  </cellStyleXfs>
  <cellXfs count="144">
    <xf numFmtId="0" fontId="0" fillId="0" borderId="0" xfId="0"/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7" fillId="0" borderId="0" xfId="3"/>
    <xf numFmtId="0" fontId="7" fillId="5" borderId="1" xfId="3" applyFill="1" applyBorder="1" applyAlignment="1">
      <alignment horizontal="left"/>
    </xf>
    <xf numFmtId="0" fontId="7" fillId="6" borderId="1" xfId="3" applyFill="1" applyBorder="1" applyAlignment="1">
      <alignment horizontal="left"/>
    </xf>
    <xf numFmtId="0" fontId="6" fillId="2" borderId="1" xfId="0" applyFont="1" applyFill="1" applyBorder="1"/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left" vertical="top" wrapText="1"/>
    </xf>
    <xf numFmtId="0" fontId="10" fillId="7" borderId="1" xfId="4" applyFont="1" applyFill="1" applyBorder="1" applyAlignment="1">
      <alignment horizontal="center" vertical="center"/>
    </xf>
    <xf numFmtId="165" fontId="10" fillId="7" borderId="1" xfId="5" applyFont="1" applyFill="1" applyBorder="1" applyAlignment="1">
      <alignment horizontal="center" vertical="center"/>
    </xf>
    <xf numFmtId="0" fontId="12" fillId="0" borderId="1" xfId="4" applyFont="1" applyBorder="1" applyAlignment="1">
      <alignment horizontal="center"/>
    </xf>
    <xf numFmtId="0" fontId="12" fillId="0" borderId="1" xfId="4" applyFont="1" applyBorder="1"/>
    <xf numFmtId="164" fontId="12" fillId="0" borderId="1" xfId="5" applyNumberFormat="1" applyFont="1" applyBorder="1"/>
    <xf numFmtId="0" fontId="12" fillId="0" borderId="6" xfId="4" applyFont="1" applyBorder="1"/>
    <xf numFmtId="0" fontId="12" fillId="0" borderId="7" xfId="4" applyFont="1" applyBorder="1"/>
    <xf numFmtId="0" fontId="12" fillId="0" borderId="8" xfId="4" applyFont="1" applyBorder="1"/>
    <xf numFmtId="168" fontId="12" fillId="0" borderId="9" xfId="5" applyNumberFormat="1" applyFont="1" applyBorder="1"/>
    <xf numFmtId="0" fontId="7" fillId="8" borderId="10" xfId="4" applyFill="1" applyBorder="1"/>
    <xf numFmtId="0" fontId="7" fillId="8" borderId="11" xfId="4" applyFill="1" applyBorder="1"/>
    <xf numFmtId="165" fontId="7" fillId="8" borderId="11" xfId="5" applyFont="1" applyFill="1" applyBorder="1"/>
    <xf numFmtId="165" fontId="7" fillId="8" borderId="12" xfId="5" applyFont="1" applyFill="1" applyBorder="1"/>
    <xf numFmtId="0" fontId="7" fillId="8" borderId="13" xfId="4" applyFill="1" applyBorder="1"/>
    <xf numFmtId="0" fontId="7" fillId="8" borderId="0" xfId="4" applyFill="1"/>
    <xf numFmtId="0" fontId="13" fillId="0" borderId="14" xfId="4" applyFont="1" applyBorder="1" applyAlignment="1">
      <alignment horizontal="center"/>
    </xf>
    <xf numFmtId="0" fontId="7" fillId="8" borderId="6" xfId="4" applyFill="1" applyBorder="1"/>
    <xf numFmtId="0" fontId="7" fillId="8" borderId="7" xfId="4" applyFill="1" applyBorder="1"/>
    <xf numFmtId="165" fontId="7" fillId="8" borderId="7" xfId="5" applyFont="1" applyFill="1" applyBorder="1"/>
    <xf numFmtId="165" fontId="7" fillId="8" borderId="15" xfId="5" applyFont="1" applyFill="1" applyBorder="1"/>
    <xf numFmtId="0" fontId="0" fillId="0" borderId="16" xfId="0" applyBorder="1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1" borderId="17" xfId="0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4" fontId="19" fillId="12" borderId="18" xfId="0" applyNumberFormat="1" applyFont="1" applyFill="1" applyBorder="1" applyAlignment="1">
      <alignment vertical="center"/>
    </xf>
    <xf numFmtId="0" fontId="19" fillId="13" borderId="18" xfId="0" applyFont="1" applyFill="1" applyBorder="1" applyAlignment="1">
      <alignment horizontal="center" vertical="center"/>
    </xf>
    <xf numFmtId="44" fontId="19" fillId="13" borderId="19" xfId="0" applyNumberFormat="1" applyFont="1" applyFill="1" applyBorder="1" applyAlignment="1">
      <alignment horizontal="center" vertical="center"/>
    </xf>
    <xf numFmtId="44" fontId="16" fillId="0" borderId="0" xfId="0" applyNumberFormat="1" applyFont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horizontal="center" vertical="center"/>
    </xf>
    <xf numFmtId="44" fontId="19" fillId="12" borderId="17" xfId="0" applyNumberFormat="1" applyFont="1" applyFill="1" applyBorder="1" applyAlignment="1">
      <alignment vertical="center"/>
    </xf>
    <xf numFmtId="0" fontId="19" fillId="13" borderId="17" xfId="0" applyFont="1" applyFill="1" applyBorder="1" applyAlignment="1">
      <alignment horizontal="center" vertical="center"/>
    </xf>
    <xf numFmtId="44" fontId="19" fillId="13" borderId="2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9" fillId="17" borderId="18" xfId="0" applyFont="1" applyFill="1" applyBorder="1" applyAlignment="1">
      <alignment horizontal="center" vertical="center"/>
    </xf>
    <xf numFmtId="44" fontId="19" fillId="17" borderId="18" xfId="0" applyNumberFormat="1" applyFont="1" applyFill="1" applyBorder="1" applyAlignment="1">
      <alignment horizontal="center" vertical="center"/>
    </xf>
    <xf numFmtId="0" fontId="19" fillId="18" borderId="18" xfId="0" applyFont="1" applyFill="1" applyBorder="1" applyAlignment="1">
      <alignment horizontal="center" vertical="center"/>
    </xf>
    <xf numFmtId="44" fontId="19" fillId="18" borderId="19" xfId="0" applyNumberFormat="1" applyFont="1" applyFill="1" applyBorder="1" applyAlignment="1">
      <alignment horizontal="center" vertical="center"/>
    </xf>
    <xf numFmtId="0" fontId="19" fillId="17" borderId="17" xfId="0" applyFont="1" applyFill="1" applyBorder="1" applyAlignment="1">
      <alignment horizontal="center" vertical="center"/>
    </xf>
    <xf numFmtId="44" fontId="19" fillId="17" borderId="17" xfId="0" applyNumberFormat="1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44" fontId="19" fillId="18" borderId="21" xfId="0" applyNumberFormat="1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9" fontId="0" fillId="0" borderId="0" xfId="1" applyNumberFormat="1" applyFont="1" applyAlignment="1">
      <alignment horizontal="center"/>
    </xf>
    <xf numFmtId="0" fontId="3" fillId="0" borderId="1" xfId="0" applyFont="1" applyBorder="1"/>
    <xf numFmtId="166" fontId="3" fillId="0" borderId="1" xfId="1" applyNumberFormat="1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3" fillId="0" borderId="30" xfId="0" applyFont="1" applyBorder="1"/>
    <xf numFmtId="0" fontId="0" fillId="0" borderId="14" xfId="0" applyBorder="1"/>
    <xf numFmtId="0" fontId="0" fillId="0" borderId="31" xfId="0" applyBorder="1"/>
    <xf numFmtId="0" fontId="0" fillId="0" borderId="22" xfId="0" applyBorder="1"/>
    <xf numFmtId="0" fontId="0" fillId="0" borderId="24" xfId="0" applyBorder="1"/>
    <xf numFmtId="49" fontId="22" fillId="19" borderId="32" xfId="0" applyNumberFormat="1" applyFont="1" applyFill="1" applyBorder="1" applyAlignment="1">
      <alignment vertical="center"/>
    </xf>
    <xf numFmtId="49" fontId="16" fillId="0" borderId="0" xfId="0" applyNumberFormat="1" applyFont="1" applyAlignment="1">
      <alignment vertical="center"/>
    </xf>
    <xf numFmtId="49" fontId="22" fillId="20" borderId="32" xfId="0" applyNumberFormat="1" applyFont="1" applyFill="1" applyBorder="1" applyAlignment="1">
      <alignment horizontal="center" vertical="center"/>
    </xf>
    <xf numFmtId="49" fontId="22" fillId="20" borderId="32" xfId="0" applyNumberFormat="1" applyFont="1" applyFill="1" applyBorder="1" applyAlignment="1">
      <alignment horizontal="left" vertical="center"/>
    </xf>
    <xf numFmtId="49" fontId="16" fillId="21" borderId="32" xfId="0" applyNumberFormat="1" applyFont="1" applyFill="1" applyBorder="1" applyAlignment="1">
      <alignment vertical="center"/>
    </xf>
    <xf numFmtId="49" fontId="16" fillId="21" borderId="32" xfId="0" applyNumberFormat="1" applyFont="1" applyFill="1" applyBorder="1" applyAlignment="1">
      <alignment horizontal="center" vertical="center"/>
    </xf>
    <xf numFmtId="0" fontId="16" fillId="21" borderId="32" xfId="0" applyFont="1" applyFill="1" applyBorder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49" fontId="16" fillId="21" borderId="0" xfId="0" applyNumberFormat="1" applyFont="1" applyFill="1" applyAlignment="1">
      <alignment vertical="center"/>
    </xf>
    <xf numFmtId="49" fontId="16" fillId="21" borderId="0" xfId="0" applyNumberFormat="1" applyFont="1" applyFill="1" applyAlignment="1">
      <alignment horizontal="center" vertical="center"/>
    </xf>
    <xf numFmtId="49" fontId="16" fillId="21" borderId="33" xfId="0" applyNumberFormat="1" applyFont="1" applyFill="1" applyBorder="1" applyAlignment="1">
      <alignment vertical="center"/>
    </xf>
    <xf numFmtId="49" fontId="16" fillId="0" borderId="3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22" fillId="22" borderId="32" xfId="0" applyFont="1" applyFill="1" applyBorder="1" applyAlignment="1">
      <alignment horizontal="left" vertical="center"/>
    </xf>
    <xf numFmtId="0" fontId="22" fillId="22" borderId="32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left" vertical="center" indent="3"/>
    </xf>
    <xf numFmtId="0" fontId="22" fillId="0" borderId="0" xfId="0" applyFont="1" applyAlignment="1">
      <alignment horizontal="left" vertical="center" indent="3"/>
    </xf>
    <xf numFmtId="44" fontId="16" fillId="21" borderId="32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3"/>
    </xf>
    <xf numFmtId="0" fontId="16" fillId="21" borderId="0" xfId="0" applyFont="1" applyFill="1" applyAlignment="1">
      <alignment horizontal="left" vertical="center"/>
    </xf>
    <xf numFmtId="44" fontId="16" fillId="21" borderId="0" xfId="0" applyNumberFormat="1" applyFont="1" applyFill="1" applyAlignment="1">
      <alignment horizontal="center" vertical="center"/>
    </xf>
    <xf numFmtId="0" fontId="16" fillId="0" borderId="33" xfId="0" applyFont="1" applyBorder="1" applyAlignment="1">
      <alignment horizontal="left" vertical="center"/>
    </xf>
    <xf numFmtId="44" fontId="16" fillId="0" borderId="33" xfId="0" applyNumberFormat="1" applyFont="1" applyBorder="1" applyAlignment="1">
      <alignment horizontal="center" vertical="center"/>
    </xf>
    <xf numFmtId="0" fontId="16" fillId="0" borderId="0" xfId="0" applyFont="1"/>
    <xf numFmtId="0" fontId="22" fillId="22" borderId="1" xfId="0" applyFont="1" applyFill="1" applyBorder="1" applyAlignment="1">
      <alignment horizontal="left" vertical="center"/>
    </xf>
    <xf numFmtId="0" fontId="22" fillId="22" borderId="1" xfId="0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center" vertical="center"/>
    </xf>
    <xf numFmtId="0" fontId="22" fillId="24" borderId="1" xfId="0" applyFont="1" applyFill="1" applyBorder="1" applyAlignment="1">
      <alignment horizontal="left" vertical="center"/>
    </xf>
    <xf numFmtId="0" fontId="22" fillId="23" borderId="1" xfId="0" applyFont="1" applyFill="1" applyBorder="1"/>
    <xf numFmtId="0" fontId="16" fillId="25" borderId="1" xfId="0" applyFont="1" applyFill="1" applyBorder="1" applyAlignment="1">
      <alignment horizontal="left" vertical="center"/>
    </xf>
    <xf numFmtId="49" fontId="16" fillId="25" borderId="1" xfId="0" applyNumberFormat="1" applyFont="1" applyFill="1" applyBorder="1" applyAlignment="1">
      <alignment horizontal="center" vertical="center"/>
    </xf>
    <xf numFmtId="49" fontId="16" fillId="26" borderId="1" xfId="0" applyNumberFormat="1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left" vertical="center"/>
    </xf>
    <xf numFmtId="0" fontId="16" fillId="18" borderId="1" xfId="0" applyFont="1" applyFill="1" applyBorder="1"/>
    <xf numFmtId="0" fontId="16" fillId="0" borderId="1" xfId="0" applyFont="1" applyBorder="1"/>
    <xf numFmtId="0" fontId="16" fillId="18" borderId="1" xfId="0" applyFont="1" applyFill="1" applyBorder="1" applyAlignment="1">
      <alignment horizontal="left" vertical="center"/>
    </xf>
    <xf numFmtId="49" fontId="16" fillId="18" borderId="1" xfId="0" applyNumberFormat="1" applyFont="1" applyFill="1" applyBorder="1" applyAlignment="1">
      <alignment horizontal="center" vertical="center"/>
    </xf>
    <xf numFmtId="49" fontId="16" fillId="27" borderId="1" xfId="0" applyNumberFormat="1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left" vertical="center"/>
    </xf>
    <xf numFmtId="0" fontId="22" fillId="28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left" vertical="center"/>
    </xf>
    <xf numFmtId="0" fontId="22" fillId="29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left" vertical="center"/>
    </xf>
    <xf numFmtId="0" fontId="22" fillId="0" borderId="0" xfId="0" applyFont="1"/>
    <xf numFmtId="49" fontId="16" fillId="30" borderId="1" xfId="0" applyNumberFormat="1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left" vertical="center"/>
    </xf>
    <xf numFmtId="49" fontId="16" fillId="31" borderId="1" xfId="0" applyNumberFormat="1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left" vertical="center"/>
    </xf>
    <xf numFmtId="49" fontId="16" fillId="17" borderId="1" xfId="0" applyNumberFormat="1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left" vertical="center"/>
    </xf>
    <xf numFmtId="49" fontId="16" fillId="13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167" fontId="3" fillId="0" borderId="1" xfId="1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</cellXfs>
  <cellStyles count="7">
    <cellStyle name="Currency" xfId="1" builtinId="4"/>
    <cellStyle name="Currency 2" xfId="5"/>
    <cellStyle name="Normal" xfId="0" builtinId="0"/>
    <cellStyle name="Normal 2" xfId="3"/>
    <cellStyle name="Normal 3" xfId="6"/>
    <cellStyle name="Normal_PRACTICE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zoomScale="66" zoomScaleNormal="66" workbookViewId="0">
      <selection activeCell="C12" sqref="C12"/>
    </sheetView>
  </sheetViews>
  <sheetFormatPr defaultRowHeight="21"/>
  <cols>
    <col min="1" max="1" width="14.1796875" bestFit="1" customWidth="1"/>
    <col min="2" max="2" width="9.36328125" bestFit="1" customWidth="1"/>
    <col min="3" max="3" width="9.81640625" bestFit="1" customWidth="1"/>
    <col min="4" max="4" width="8.36328125" bestFit="1" customWidth="1"/>
    <col min="5" max="5" width="4.36328125" bestFit="1" customWidth="1"/>
    <col min="6" max="6" width="8.6328125" bestFit="1" customWidth="1"/>
    <col min="7" max="7" width="10.90625" bestFit="1" customWidth="1"/>
    <col min="8" max="8" width="11.08984375" bestFit="1" customWidth="1"/>
    <col min="9" max="9" width="8.7265625" bestFit="1" customWidth="1"/>
    <col min="10" max="10" width="10.08984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F1" s="139" t="s">
        <v>4</v>
      </c>
      <c r="G1" s="139"/>
      <c r="H1" s="139"/>
    </row>
    <row r="2" spans="1:10">
      <c r="A2" s="2" t="s">
        <v>5</v>
      </c>
      <c r="B2" s="71">
        <f>VLOOKUP($A$2,$A$6:$J$33,MATCH(B$1,$A6:$J6,0),0)</f>
        <v>30323</v>
      </c>
      <c r="C2" s="71">
        <f t="shared" ref="C2" si="0">VLOOKUP($A$2,$A$6:$J$33,MATCH(C$1,$A6:$J6,0),0)</f>
        <v>115444</v>
      </c>
      <c r="D2" s="138">
        <f>VLOOKUP($A$2,$A$6:$J$33,MATCH(D$1,$A6:$J6,0),0)</f>
        <v>0.5031712473572939</v>
      </c>
    </row>
    <row r="3" spans="1:10">
      <c r="A3" s="5"/>
      <c r="B3" s="6"/>
      <c r="C3" s="6"/>
      <c r="D3" s="69"/>
    </row>
    <row r="4" spans="1:10">
      <c r="A4" s="5"/>
      <c r="B4" s="6"/>
      <c r="C4" s="6"/>
      <c r="D4" s="6"/>
    </row>
    <row r="5" spans="1:10">
      <c r="A5" s="5"/>
      <c r="B5" s="6"/>
    </row>
    <row r="6" spans="1:10">
      <c r="A6" s="1" t="s">
        <v>0</v>
      </c>
      <c r="B6" s="1" t="s">
        <v>6</v>
      </c>
      <c r="C6" s="1" t="s">
        <v>3</v>
      </c>
      <c r="D6" s="1" t="s">
        <v>7</v>
      </c>
      <c r="E6" s="1" t="s">
        <v>8</v>
      </c>
      <c r="F6" s="1" t="s">
        <v>1</v>
      </c>
      <c r="G6" s="1" t="s">
        <v>9</v>
      </c>
      <c r="H6" s="1" t="s">
        <v>10</v>
      </c>
      <c r="I6" s="1" t="s">
        <v>11</v>
      </c>
      <c r="J6" s="1" t="s">
        <v>2</v>
      </c>
    </row>
    <row r="7" spans="1:10">
      <c r="A7" s="7" t="s">
        <v>12</v>
      </c>
      <c r="B7" s="8">
        <v>8.7999999999999995E-2</v>
      </c>
      <c r="C7" s="8">
        <f>362/462</f>
        <v>0.78354978354978355</v>
      </c>
      <c r="D7" s="7">
        <v>718</v>
      </c>
      <c r="E7" s="9">
        <v>3.58</v>
      </c>
      <c r="F7" s="3">
        <v>31002</v>
      </c>
      <c r="G7" s="8">
        <v>0.24600000000000002</v>
      </c>
      <c r="H7" s="8">
        <v>0.309</v>
      </c>
      <c r="I7" s="8">
        <v>0.38700000000000001</v>
      </c>
      <c r="J7" s="3">
        <v>124740</v>
      </c>
    </row>
    <row r="8" spans="1:10">
      <c r="A8" s="7" t="s">
        <v>13</v>
      </c>
      <c r="B8" s="8">
        <v>0.11600000000000001</v>
      </c>
      <c r="C8" s="8">
        <f>897/1028</f>
        <v>0.87256809338521402</v>
      </c>
      <c r="D8" s="7">
        <v>703</v>
      </c>
      <c r="E8" s="9">
        <v>3.58</v>
      </c>
      <c r="F8" s="3">
        <v>30050</v>
      </c>
      <c r="G8" s="8">
        <v>0.18600000000000003</v>
      </c>
      <c r="H8" s="8">
        <v>0.37200000000000005</v>
      </c>
      <c r="I8" s="8">
        <v>0.34200000000000003</v>
      </c>
      <c r="J8" s="3">
        <v>121979</v>
      </c>
    </row>
    <row r="9" spans="1:10">
      <c r="A9" s="7" t="s">
        <v>14</v>
      </c>
      <c r="B9" s="8">
        <v>0.155</v>
      </c>
      <c r="C9" s="8">
        <f>789/1124</f>
        <v>0.70195729537366547</v>
      </c>
      <c r="D9" s="7">
        <v>703</v>
      </c>
      <c r="E9" s="9">
        <v>3.57</v>
      </c>
      <c r="F9" s="3">
        <v>31218</v>
      </c>
      <c r="G9" s="8">
        <v>0.19</v>
      </c>
      <c r="H9" s="8">
        <v>0.43099999999999999</v>
      </c>
      <c r="I9" s="8">
        <v>0.29299999999999998</v>
      </c>
      <c r="J9" s="3">
        <v>121200</v>
      </c>
    </row>
    <row r="10" spans="1:10">
      <c r="A10" s="7" t="s">
        <v>15</v>
      </c>
      <c r="B10" s="8">
        <v>0.18099999999999999</v>
      </c>
      <c r="C10" s="8" t="s">
        <v>519</v>
      </c>
      <c r="D10" s="7">
        <v>703</v>
      </c>
      <c r="E10" s="9">
        <v>3.5</v>
      </c>
      <c r="F10" s="3">
        <v>31200</v>
      </c>
      <c r="G10" s="8">
        <v>0.19</v>
      </c>
      <c r="H10" s="8">
        <v>0.35499999999999998</v>
      </c>
      <c r="I10" s="8">
        <v>0.26500000000000001</v>
      </c>
      <c r="J10" s="3">
        <v>118381</v>
      </c>
    </row>
    <row r="11" spans="1:10">
      <c r="A11" s="7" t="s">
        <v>16</v>
      </c>
      <c r="B11" s="8">
        <v>0.16600000000000001</v>
      </c>
      <c r="C11" s="8">
        <f>620/1004</f>
        <v>0.61752988047808766</v>
      </c>
      <c r="D11" s="7">
        <v>700</v>
      </c>
      <c r="E11" s="9">
        <v>3.45</v>
      </c>
      <c r="F11" s="3">
        <v>30255</v>
      </c>
      <c r="G11" s="8">
        <v>0.17499999999999999</v>
      </c>
      <c r="H11" s="8">
        <v>0.308</v>
      </c>
      <c r="I11" s="8">
        <v>0.27500000000000002</v>
      </c>
      <c r="J11" s="3">
        <v>114664</v>
      </c>
    </row>
    <row r="12" spans="1:10">
      <c r="A12" s="7" t="s">
        <v>17</v>
      </c>
      <c r="B12" s="8">
        <v>0.20100000000000001</v>
      </c>
      <c r="C12" s="8">
        <f>238/473</f>
        <v>0.5031712473572939</v>
      </c>
      <c r="D12" s="7">
        <v>690</v>
      </c>
      <c r="E12" s="9">
        <v>3.43</v>
      </c>
      <c r="F12" s="3">
        <v>30323</v>
      </c>
      <c r="G12" s="8">
        <v>0.20600000000000002</v>
      </c>
      <c r="H12" s="8">
        <v>0.32700000000000001</v>
      </c>
      <c r="I12" s="8">
        <v>0.34799999999999998</v>
      </c>
      <c r="J12" s="3">
        <v>115444</v>
      </c>
    </row>
    <row r="13" spans="1:10">
      <c r="A13" s="7" t="s">
        <v>18</v>
      </c>
      <c r="B13" s="8">
        <v>0.28399999999999997</v>
      </c>
      <c r="C13" s="8">
        <f>472/790</f>
        <v>0.59746835443037971</v>
      </c>
      <c r="D13" s="7">
        <v>695</v>
      </c>
      <c r="E13" s="9">
        <v>3.33</v>
      </c>
      <c r="F13" s="3">
        <v>30596</v>
      </c>
      <c r="G13" s="8">
        <v>0.182</v>
      </c>
      <c r="H13" s="8">
        <v>0.33200000000000002</v>
      </c>
      <c r="I13" s="8">
        <v>0.23600000000000002</v>
      </c>
      <c r="J13" s="3">
        <v>115331</v>
      </c>
    </row>
    <row r="14" spans="1:10">
      <c r="A14" s="7" t="s">
        <v>19</v>
      </c>
      <c r="B14" s="8">
        <v>0.13500000000000001</v>
      </c>
      <c r="C14" s="8">
        <f>488/710</f>
        <v>0.6873239436619718</v>
      </c>
      <c r="D14" s="7">
        <v>705</v>
      </c>
      <c r="E14" s="9">
        <v>3.4</v>
      </c>
      <c r="F14" s="3">
        <v>31912</v>
      </c>
      <c r="G14" s="8">
        <v>0.193</v>
      </c>
      <c r="H14" s="8">
        <v>0.26500000000000001</v>
      </c>
      <c r="I14" s="8">
        <v>0.36499999999999999</v>
      </c>
      <c r="J14" s="3">
        <v>117989</v>
      </c>
    </row>
    <row r="15" spans="1:10">
      <c r="A15" s="7" t="s">
        <v>20</v>
      </c>
      <c r="B15" s="8">
        <v>0.188</v>
      </c>
      <c r="C15" s="8">
        <f>233/437</f>
        <v>0.53318077803203656</v>
      </c>
      <c r="D15" s="7">
        <v>690</v>
      </c>
      <c r="E15" s="9">
        <v>3.4</v>
      </c>
      <c r="F15" s="3">
        <v>30250</v>
      </c>
      <c r="G15" s="8">
        <v>0.17199999999999999</v>
      </c>
      <c r="H15" s="8">
        <v>0.29899999999999999</v>
      </c>
      <c r="I15" s="8">
        <v>0.27600000000000002</v>
      </c>
      <c r="J15" s="3">
        <v>121692</v>
      </c>
    </row>
    <row r="16" spans="1:10">
      <c r="A16" s="7" t="s">
        <v>21</v>
      </c>
      <c r="B16" s="8">
        <v>0.14499999999999999</v>
      </c>
      <c r="C16" s="8">
        <f>238/473</f>
        <v>0.5031712473572939</v>
      </c>
      <c r="D16" s="7">
        <v>688</v>
      </c>
      <c r="E16" s="9">
        <v>3.43</v>
      </c>
      <c r="F16" s="3">
        <v>21242</v>
      </c>
      <c r="G16" s="8">
        <v>0.19399999999999998</v>
      </c>
      <c r="H16" s="8">
        <v>0.30199999999999999</v>
      </c>
      <c r="I16" s="8">
        <v>0.30399999999999999</v>
      </c>
      <c r="J16" s="3">
        <v>111321</v>
      </c>
    </row>
    <row r="17" spans="1:10">
      <c r="A17" s="7" t="s">
        <v>22</v>
      </c>
      <c r="B17" s="8">
        <v>0.19600000000000001</v>
      </c>
      <c r="C17" s="8">
        <f>432/739</f>
        <v>0.58457374830852504</v>
      </c>
      <c r="D17" s="7">
        <v>676</v>
      </c>
      <c r="E17" s="9">
        <v>3.34</v>
      </c>
      <c r="F17" s="3">
        <v>30686</v>
      </c>
      <c r="G17" s="8">
        <v>0.20499999999999999</v>
      </c>
      <c r="H17" s="8">
        <v>0.312</v>
      </c>
      <c r="I17" s="8">
        <v>0.27600000000000002</v>
      </c>
      <c r="J17" s="3">
        <v>117498</v>
      </c>
    </row>
    <row r="18" spans="1:10">
      <c r="A18" s="7" t="s">
        <v>23</v>
      </c>
      <c r="B18" s="8">
        <v>0.16600000000000001</v>
      </c>
      <c r="C18" s="8">
        <f>252/494</f>
        <v>0.51012145748987858</v>
      </c>
      <c r="D18" s="7">
        <v>681</v>
      </c>
      <c r="E18" s="9">
        <v>3.4</v>
      </c>
      <c r="F18" s="3">
        <v>27283</v>
      </c>
      <c r="G18" s="8">
        <v>0.151</v>
      </c>
      <c r="H18" s="8">
        <v>0.30099999999999999</v>
      </c>
      <c r="I18" s="8">
        <v>0.29100000000000004</v>
      </c>
      <c r="J18" s="3">
        <v>112706</v>
      </c>
    </row>
    <row r="19" spans="1:10">
      <c r="A19" s="7" t="s">
        <v>24</v>
      </c>
      <c r="B19" s="8">
        <v>0.223</v>
      </c>
      <c r="C19" s="8">
        <f>434/901</f>
        <v>0.48168701442841289</v>
      </c>
      <c r="D19" s="7">
        <v>689</v>
      </c>
      <c r="E19" s="9">
        <v>3.4</v>
      </c>
      <c r="F19" s="3">
        <v>31746</v>
      </c>
      <c r="G19" s="8">
        <v>0.19</v>
      </c>
      <c r="H19" s="8">
        <v>0.30199999999999999</v>
      </c>
      <c r="I19" s="8">
        <v>0.34100000000000003</v>
      </c>
      <c r="J19" s="3">
        <v>112900</v>
      </c>
    </row>
    <row r="20" spans="1:10">
      <c r="A20" s="7" t="s">
        <v>25</v>
      </c>
      <c r="B20" s="8">
        <v>0.2</v>
      </c>
      <c r="C20" s="8">
        <f>238/420</f>
        <v>0.56666666666666665</v>
      </c>
      <c r="D20" s="7">
        <v>686</v>
      </c>
      <c r="E20" s="9">
        <v>3.5</v>
      </c>
      <c r="F20" s="3">
        <v>29055</v>
      </c>
      <c r="G20" s="8">
        <v>0.17300000000000001</v>
      </c>
      <c r="H20" s="8">
        <v>0.38900000000000001</v>
      </c>
      <c r="I20" s="8">
        <v>0.27500000000000002</v>
      </c>
      <c r="J20" s="3">
        <v>112514</v>
      </c>
    </row>
    <row r="21" spans="1:10">
      <c r="A21" s="7" t="s">
        <v>26</v>
      </c>
      <c r="B21" s="8">
        <v>0.17399999999999999</v>
      </c>
      <c r="C21" s="8">
        <f>330/680</f>
        <v>0.48529411764705882</v>
      </c>
      <c r="D21" s="7">
        <v>691</v>
      </c>
      <c r="E21" s="9">
        <v>3.6</v>
      </c>
      <c r="F21" s="3">
        <v>22490</v>
      </c>
      <c r="G21" s="8">
        <v>0.21600000000000003</v>
      </c>
      <c r="H21" s="8">
        <v>0.24</v>
      </c>
      <c r="I21" s="8">
        <v>0.28600000000000003</v>
      </c>
      <c r="J21" s="3">
        <v>103364</v>
      </c>
    </row>
    <row r="22" spans="1:10">
      <c r="A22" s="7" t="s">
        <v>27</v>
      </c>
      <c r="B22" s="8">
        <v>0.25800000000000001</v>
      </c>
      <c r="C22" s="8">
        <f>300/586</f>
        <v>0.51194539249146753</v>
      </c>
      <c r="D22" s="7">
        <v>669</v>
      </c>
      <c r="E22" s="9">
        <v>3.32</v>
      </c>
      <c r="F22" s="3">
        <v>30455</v>
      </c>
      <c r="G22" s="8">
        <v>0.22600000000000001</v>
      </c>
      <c r="H22" s="8">
        <v>0.25600000000000001</v>
      </c>
      <c r="I22" s="8">
        <v>0.27100000000000002</v>
      </c>
      <c r="J22" s="3">
        <v>116588</v>
      </c>
    </row>
    <row r="23" spans="1:10">
      <c r="A23" s="7" t="s">
        <v>28</v>
      </c>
      <c r="B23" s="8">
        <v>0.23799999999999999</v>
      </c>
      <c r="C23" s="8">
        <f>278/629</f>
        <v>0.44197138314785372</v>
      </c>
      <c r="D23" s="7">
        <v>674</v>
      </c>
      <c r="E23" s="9">
        <v>3.3</v>
      </c>
      <c r="F23" s="3">
        <v>25525</v>
      </c>
      <c r="G23" s="8">
        <v>0.16200000000000001</v>
      </c>
      <c r="H23" s="8">
        <v>0.30399999999999999</v>
      </c>
      <c r="I23" s="8">
        <v>0.30599999999999999</v>
      </c>
      <c r="J23" s="3">
        <v>109420</v>
      </c>
    </row>
    <row r="24" spans="1:10">
      <c r="A24" s="7" t="s">
        <v>29</v>
      </c>
      <c r="B24" s="8">
        <v>0.28199999999999997</v>
      </c>
      <c r="C24" s="8">
        <f>220/366</f>
        <v>0.60109289617486339</v>
      </c>
      <c r="D24" s="7">
        <v>652</v>
      </c>
      <c r="E24" s="9">
        <v>3.25</v>
      </c>
      <c r="F24" s="3">
        <v>28452</v>
      </c>
      <c r="G24" s="8">
        <v>0.21299999999999999</v>
      </c>
      <c r="H24" s="8">
        <v>0.38299999999999995</v>
      </c>
      <c r="I24" s="8">
        <v>0.26800000000000002</v>
      </c>
      <c r="J24" s="3">
        <v>111211</v>
      </c>
    </row>
    <row r="25" spans="1:10">
      <c r="A25" s="7" t="s">
        <v>30</v>
      </c>
      <c r="B25" s="8">
        <v>0.3</v>
      </c>
      <c r="C25" s="8">
        <f>396/756</f>
        <v>0.52380952380952384</v>
      </c>
      <c r="D25" s="7">
        <v>680</v>
      </c>
      <c r="E25" s="9">
        <v>3.34</v>
      </c>
      <c r="F25" s="3">
        <v>21200</v>
      </c>
      <c r="G25" s="8">
        <v>0.12300000000000001</v>
      </c>
      <c r="H25" s="8">
        <v>0.26700000000000002</v>
      </c>
      <c r="I25" s="8">
        <v>0.22699999999999998</v>
      </c>
      <c r="J25" s="3">
        <v>106859</v>
      </c>
    </row>
    <row r="26" spans="1:10">
      <c r="A26" s="7" t="s">
        <v>31</v>
      </c>
      <c r="B26" s="8">
        <v>0.28999999999999998</v>
      </c>
      <c r="C26" s="8">
        <f>291/670</f>
        <v>0.43432835820895521</v>
      </c>
      <c r="D26" s="7">
        <v>670</v>
      </c>
      <c r="E26" s="9">
        <v>3.3</v>
      </c>
      <c r="F26" s="3">
        <v>30082</v>
      </c>
      <c r="G26" s="8">
        <v>0.32299999999999995</v>
      </c>
      <c r="H26" s="8">
        <v>0.23800000000000002</v>
      </c>
      <c r="I26" s="8">
        <v>0.28699999999999998</v>
      </c>
      <c r="J26" s="3">
        <v>95213</v>
      </c>
    </row>
    <row r="27" spans="1:10">
      <c r="A27" s="7" t="s">
        <v>32</v>
      </c>
      <c r="B27" s="8">
        <v>0.247</v>
      </c>
      <c r="C27" s="8">
        <f>291/584</f>
        <v>0.49828767123287671</v>
      </c>
      <c r="D27" s="7">
        <v>651</v>
      </c>
      <c r="E27" s="9">
        <v>3.35</v>
      </c>
      <c r="F27" s="3">
        <v>20696</v>
      </c>
      <c r="G27" s="8">
        <v>0.14300000000000002</v>
      </c>
      <c r="H27" s="8">
        <v>0.34499999999999997</v>
      </c>
      <c r="I27" s="8">
        <v>0.20699999999999999</v>
      </c>
      <c r="J27" s="3">
        <v>99732</v>
      </c>
    </row>
    <row r="28" spans="1:10">
      <c r="A28" s="7" t="s">
        <v>33</v>
      </c>
      <c r="B28" s="8">
        <v>0.315</v>
      </c>
      <c r="C28" s="8">
        <f>171/366</f>
        <v>0.46721311475409838</v>
      </c>
      <c r="D28" s="7">
        <v>651</v>
      </c>
      <c r="E28" s="9">
        <v>3.3</v>
      </c>
      <c r="F28" s="3">
        <v>28012</v>
      </c>
      <c r="G28" s="8">
        <v>0.107</v>
      </c>
      <c r="H28" s="8">
        <v>0.29899999999999999</v>
      </c>
      <c r="I28" s="8">
        <v>0.23399999999999999</v>
      </c>
      <c r="J28" s="3">
        <v>104417</v>
      </c>
    </row>
    <row r="29" spans="1:10">
      <c r="A29" s="7" t="s">
        <v>34</v>
      </c>
      <c r="B29" s="8">
        <v>0.32700000000000001</v>
      </c>
      <c r="C29" s="8">
        <f>189/448</f>
        <v>0.421875</v>
      </c>
      <c r="D29" s="7">
        <v>637</v>
      </c>
      <c r="E29" s="9">
        <v>3.33</v>
      </c>
      <c r="F29" s="3">
        <v>28620</v>
      </c>
      <c r="G29" s="8">
        <v>0.10300000000000001</v>
      </c>
      <c r="H29" s="8">
        <v>0.54200000000000004</v>
      </c>
      <c r="I29" s="8">
        <v>0.252</v>
      </c>
      <c r="J29" s="3">
        <v>103466</v>
      </c>
    </row>
    <row r="30" spans="1:10">
      <c r="A30" s="7" t="s">
        <v>35</v>
      </c>
      <c r="B30" s="8">
        <v>0.20799999999999999</v>
      </c>
      <c r="C30" s="8">
        <f>270/585</f>
        <v>0.46153846153846156</v>
      </c>
      <c r="D30" s="7">
        <v>662</v>
      </c>
      <c r="E30" s="9">
        <v>3.35</v>
      </c>
      <c r="F30" s="3">
        <v>28440</v>
      </c>
      <c r="G30" s="8">
        <v>0.10800000000000001</v>
      </c>
      <c r="H30" s="8">
        <v>0.38700000000000001</v>
      </c>
      <c r="I30" s="8">
        <v>0.28100000000000003</v>
      </c>
      <c r="J30" s="3">
        <v>99528</v>
      </c>
    </row>
    <row r="31" spans="1:10">
      <c r="A31" s="7" t="s">
        <v>36</v>
      </c>
      <c r="B31" s="8">
        <v>0.223</v>
      </c>
      <c r="C31" s="8">
        <f>111/202</f>
        <v>0.54950495049504955</v>
      </c>
      <c r="D31" s="7">
        <v>641</v>
      </c>
      <c r="E31" s="9">
        <v>3.36</v>
      </c>
      <c r="F31" s="3">
        <v>16955</v>
      </c>
      <c r="G31" s="8">
        <v>0.13600000000000001</v>
      </c>
      <c r="H31" s="8">
        <v>0.379</v>
      </c>
      <c r="I31" s="8">
        <v>0.252</v>
      </c>
      <c r="J31" s="3">
        <v>88746</v>
      </c>
    </row>
    <row r="32" spans="1:10">
      <c r="A32" s="7" t="s">
        <v>37</v>
      </c>
      <c r="B32" s="8">
        <v>0.28999999999999998</v>
      </c>
      <c r="C32" s="8">
        <f>120/290</f>
        <v>0.41379310344827586</v>
      </c>
      <c r="D32" s="7">
        <v>645</v>
      </c>
      <c r="E32" s="9">
        <v>3.38</v>
      </c>
      <c r="F32" s="3">
        <v>22151</v>
      </c>
      <c r="G32" s="8">
        <v>0.155</v>
      </c>
      <c r="H32" s="8">
        <v>0.29199999999999998</v>
      </c>
      <c r="I32" s="8">
        <v>0.36700000000000005</v>
      </c>
      <c r="J32" s="3">
        <v>99598</v>
      </c>
    </row>
    <row r="33" spans="1:10">
      <c r="A33" s="7" t="s">
        <v>38</v>
      </c>
      <c r="B33" s="8">
        <v>0.34399999999999997</v>
      </c>
      <c r="C33" s="8">
        <f>106/261</f>
        <v>0.4061302681992337</v>
      </c>
      <c r="D33" s="7">
        <v>645</v>
      </c>
      <c r="E33" s="9">
        <v>3.33</v>
      </c>
      <c r="F33" s="3">
        <v>20352</v>
      </c>
      <c r="G33" s="8">
        <v>8.5999999999999993E-2</v>
      </c>
      <c r="H33" s="8">
        <v>0.29100000000000004</v>
      </c>
      <c r="I33" s="8">
        <v>0.27899999999999997</v>
      </c>
      <c r="J33" s="3">
        <v>91140</v>
      </c>
    </row>
  </sheetData>
  <mergeCells count="1">
    <mergeCell ref="F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workbookViewId="0">
      <selection activeCell="B4" sqref="B4:B36"/>
    </sheetView>
  </sheetViews>
  <sheetFormatPr defaultRowHeight="21"/>
  <cols>
    <col min="1" max="1" width="11.6328125" bestFit="1" customWidth="1"/>
    <col min="2" max="2" width="12.54296875" bestFit="1" customWidth="1"/>
    <col min="4" max="4" width="11.6328125" bestFit="1" customWidth="1"/>
    <col min="5" max="5" width="14.90625" bestFit="1" customWidth="1"/>
  </cols>
  <sheetData>
    <row r="1" spans="1:5">
      <c r="C1" s="139" t="s">
        <v>39</v>
      </c>
      <c r="D1" s="139"/>
    </row>
    <row r="3" spans="1:5">
      <c r="A3" s="10" t="s">
        <v>40</v>
      </c>
      <c r="B3" s="10" t="s">
        <v>41</v>
      </c>
      <c r="C3" s="11"/>
      <c r="D3" s="10" t="s">
        <v>40</v>
      </c>
      <c r="E3" s="10" t="s">
        <v>41</v>
      </c>
    </row>
    <row r="4" spans="1:5">
      <c r="A4" s="12" t="s">
        <v>42</v>
      </c>
      <c r="B4" s="13" t="str">
        <f>VLOOKUP($A4,$D$3:$E$51,MATCH($B$3,$D$3:$E$3,0),0)</f>
        <v>Psych</v>
      </c>
      <c r="C4" s="11"/>
      <c r="D4" s="12" t="s">
        <v>43</v>
      </c>
      <c r="E4" s="12" t="s">
        <v>44</v>
      </c>
    </row>
    <row r="5" spans="1:5">
      <c r="A5" s="12" t="s">
        <v>45</v>
      </c>
      <c r="B5" s="13" t="str">
        <f t="shared" ref="B5:B36" si="0">VLOOKUP($A5,$D$3:$E$51,MATCH($B$3,$D$3:$E$3,0),0)</f>
        <v>Twin Peaks</v>
      </c>
      <c r="C5" s="11"/>
      <c r="D5" s="12" t="s">
        <v>46</v>
      </c>
      <c r="E5" s="12" t="s">
        <v>47</v>
      </c>
    </row>
    <row r="6" spans="1:5">
      <c r="A6" s="12" t="s">
        <v>48</v>
      </c>
      <c r="B6" s="13" t="str">
        <f t="shared" si="0"/>
        <v>Moonlighting</v>
      </c>
      <c r="C6" s="11"/>
      <c r="D6" s="12" t="s">
        <v>48</v>
      </c>
      <c r="E6" s="12" t="s">
        <v>44</v>
      </c>
    </row>
    <row r="7" spans="1:5">
      <c r="A7" s="12" t="s">
        <v>49</v>
      </c>
      <c r="B7" s="13" t="str">
        <f t="shared" si="0"/>
        <v>Dexter</v>
      </c>
      <c r="C7" s="11"/>
      <c r="D7" s="12" t="s">
        <v>50</v>
      </c>
      <c r="E7" s="12" t="s">
        <v>51</v>
      </c>
    </row>
    <row r="8" spans="1:5">
      <c r="A8" s="12" t="s">
        <v>52</v>
      </c>
      <c r="B8" s="13" t="str">
        <f t="shared" si="0"/>
        <v>Scrubs</v>
      </c>
      <c r="C8" s="11"/>
      <c r="D8" s="12" t="s">
        <v>53</v>
      </c>
      <c r="E8" s="12" t="s">
        <v>54</v>
      </c>
    </row>
    <row r="9" spans="1:5">
      <c r="A9" s="12" t="s">
        <v>55</v>
      </c>
      <c r="B9" s="13" t="str">
        <f t="shared" si="0"/>
        <v>House, M.D.</v>
      </c>
      <c r="C9" s="11"/>
      <c r="D9" s="12" t="s">
        <v>56</v>
      </c>
      <c r="E9" s="12" t="s">
        <v>47</v>
      </c>
    </row>
    <row r="10" spans="1:5">
      <c r="A10" s="12" t="s">
        <v>57</v>
      </c>
      <c r="B10" s="13" t="str">
        <f t="shared" si="0"/>
        <v>Blackadder</v>
      </c>
      <c r="C10" s="11"/>
      <c r="D10" s="12" t="s">
        <v>58</v>
      </c>
      <c r="E10" s="12" t="s">
        <v>59</v>
      </c>
    </row>
    <row r="11" spans="1:5">
      <c r="A11" s="12" t="s">
        <v>60</v>
      </c>
      <c r="B11" s="13" t="str">
        <f t="shared" si="0"/>
        <v>South Park</v>
      </c>
      <c r="C11" s="11"/>
      <c r="D11" s="12" t="s">
        <v>61</v>
      </c>
      <c r="E11" s="12" t="s">
        <v>62</v>
      </c>
    </row>
    <row r="12" spans="1:5">
      <c r="A12" s="12" t="s">
        <v>63</v>
      </c>
      <c r="B12" s="13" t="str">
        <f t="shared" si="0"/>
        <v>The X Files</v>
      </c>
      <c r="C12" s="11"/>
      <c r="D12" s="12" t="s">
        <v>64</v>
      </c>
      <c r="E12" s="12" t="s">
        <v>65</v>
      </c>
    </row>
    <row r="13" spans="1:5">
      <c r="A13" s="12" t="s">
        <v>66</v>
      </c>
      <c r="B13" s="13" t="str">
        <f t="shared" si="0"/>
        <v>Seinfeld</v>
      </c>
      <c r="C13" s="11"/>
      <c r="D13" s="12" t="s">
        <v>67</v>
      </c>
      <c r="E13" s="12" t="s">
        <v>68</v>
      </c>
    </row>
    <row r="14" spans="1:5">
      <c r="A14" s="12" t="s">
        <v>69</v>
      </c>
      <c r="B14" s="13" t="str">
        <f t="shared" si="0"/>
        <v>Modern Family</v>
      </c>
      <c r="C14" s="11"/>
      <c r="D14" s="12" t="s">
        <v>70</v>
      </c>
      <c r="E14" s="12">
        <v>24</v>
      </c>
    </row>
    <row r="15" spans="1:5">
      <c r="A15" s="12" t="s">
        <v>71</v>
      </c>
      <c r="B15" s="13" t="str">
        <f t="shared" si="0"/>
        <v>King of the Hill</v>
      </c>
      <c r="C15" s="11"/>
      <c r="D15" s="12" t="s">
        <v>69</v>
      </c>
      <c r="E15" s="12" t="s">
        <v>72</v>
      </c>
    </row>
    <row r="16" spans="1:5">
      <c r="A16" s="12" t="s">
        <v>73</v>
      </c>
      <c r="B16" s="13" t="str">
        <f t="shared" si="0"/>
        <v>Night Court</v>
      </c>
      <c r="C16" s="11"/>
      <c r="D16" s="12" t="s">
        <v>74</v>
      </c>
      <c r="E16" s="12">
        <v>24</v>
      </c>
    </row>
    <row r="17" spans="1:5">
      <c r="A17" s="12" t="s">
        <v>67</v>
      </c>
      <c r="B17" s="13" t="str">
        <f t="shared" si="0"/>
        <v>3rd Rock from the Sun</v>
      </c>
      <c r="C17" s="11"/>
      <c r="D17" s="12" t="s">
        <v>66</v>
      </c>
      <c r="E17" s="12" t="s">
        <v>75</v>
      </c>
    </row>
    <row r="18" spans="1:5">
      <c r="A18" s="12" t="s">
        <v>76</v>
      </c>
      <c r="B18" s="13" t="str">
        <f t="shared" si="0"/>
        <v>The Simpsons</v>
      </c>
      <c r="C18" s="11"/>
      <c r="D18" s="12" t="s">
        <v>77</v>
      </c>
      <c r="E18" s="12" t="s">
        <v>72</v>
      </c>
    </row>
    <row r="19" spans="1:5">
      <c r="A19" s="12" t="s">
        <v>78</v>
      </c>
      <c r="B19" s="13" t="str">
        <f t="shared" si="0"/>
        <v>Lost</v>
      </c>
      <c r="C19" s="11"/>
      <c r="D19" s="12" t="s">
        <v>79</v>
      </c>
      <c r="E19" s="12" t="s">
        <v>80</v>
      </c>
    </row>
    <row r="20" spans="1:5">
      <c r="A20" s="12" t="s">
        <v>74</v>
      </c>
      <c r="B20" s="13">
        <f t="shared" si="0"/>
        <v>24</v>
      </c>
      <c r="C20" s="11"/>
      <c r="D20" s="12" t="s">
        <v>71</v>
      </c>
      <c r="E20" s="12" t="s">
        <v>81</v>
      </c>
    </row>
    <row r="21" spans="1:5">
      <c r="A21" s="12" t="s">
        <v>82</v>
      </c>
      <c r="B21" s="13" t="str">
        <f t="shared" si="0"/>
        <v>Without A Trace</v>
      </c>
      <c r="C21" s="11"/>
      <c r="D21" s="12" t="s">
        <v>83</v>
      </c>
      <c r="E21" s="12" t="s">
        <v>84</v>
      </c>
    </row>
    <row r="22" spans="1:5">
      <c r="A22" s="12" t="s">
        <v>53</v>
      </c>
      <c r="B22" s="13" t="str">
        <f t="shared" si="0"/>
        <v>Curb Your Enthusiasm</v>
      </c>
      <c r="C22" s="11"/>
      <c r="D22" s="12" t="s">
        <v>85</v>
      </c>
      <c r="E22" s="12" t="s">
        <v>86</v>
      </c>
    </row>
    <row r="23" spans="1:5">
      <c r="A23" s="12" t="s">
        <v>87</v>
      </c>
      <c r="B23" s="13" t="str">
        <f t="shared" si="0"/>
        <v>Taxi</v>
      </c>
      <c r="C23" s="11"/>
      <c r="D23" s="12" t="s">
        <v>88</v>
      </c>
      <c r="E23" s="12" t="s">
        <v>89</v>
      </c>
    </row>
    <row r="24" spans="1:5">
      <c r="A24" s="12" t="s">
        <v>90</v>
      </c>
      <c r="B24" s="13" t="str">
        <f t="shared" si="0"/>
        <v>Lost</v>
      </c>
      <c r="C24" s="11"/>
      <c r="D24" s="12" t="s">
        <v>91</v>
      </c>
      <c r="E24" s="12" t="s">
        <v>92</v>
      </c>
    </row>
    <row r="25" spans="1:5">
      <c r="A25" s="12" t="s">
        <v>70</v>
      </c>
      <c r="B25" s="13">
        <f t="shared" si="0"/>
        <v>24</v>
      </c>
      <c r="C25" s="11"/>
      <c r="D25" s="12" t="s">
        <v>93</v>
      </c>
      <c r="E25" s="12" t="s">
        <v>94</v>
      </c>
    </row>
    <row r="26" spans="1:5">
      <c r="A26" s="12" t="s">
        <v>95</v>
      </c>
      <c r="B26" s="13" t="str">
        <f t="shared" si="0"/>
        <v>30 Rock</v>
      </c>
      <c r="C26" s="11"/>
      <c r="D26" s="12" t="s">
        <v>73</v>
      </c>
      <c r="E26" s="12" t="s">
        <v>96</v>
      </c>
    </row>
    <row r="27" spans="1:5">
      <c r="A27" s="12" t="s">
        <v>97</v>
      </c>
      <c r="B27" s="13" t="str">
        <f t="shared" si="0"/>
        <v>Gilmore Girls</v>
      </c>
      <c r="C27" s="11"/>
      <c r="D27" s="12" t="s">
        <v>42</v>
      </c>
      <c r="E27" s="12" t="s">
        <v>89</v>
      </c>
    </row>
    <row r="28" spans="1:5">
      <c r="A28" s="12" t="s">
        <v>79</v>
      </c>
      <c r="B28" s="13" t="str">
        <f t="shared" si="0"/>
        <v>Desperate Housewives</v>
      </c>
      <c r="C28" s="11"/>
      <c r="D28" s="12" t="s">
        <v>60</v>
      </c>
      <c r="E28" s="12" t="s">
        <v>98</v>
      </c>
    </row>
    <row r="29" spans="1:5">
      <c r="A29" s="12" t="s">
        <v>43</v>
      </c>
      <c r="B29" s="13" t="str">
        <f t="shared" si="0"/>
        <v>Moonlighting</v>
      </c>
      <c r="C29" s="11"/>
      <c r="D29" s="12" t="s">
        <v>99</v>
      </c>
      <c r="E29" s="12" t="s">
        <v>100</v>
      </c>
    </row>
    <row r="30" spans="1:5">
      <c r="A30" s="12" t="s">
        <v>58</v>
      </c>
      <c r="B30" s="13" t="str">
        <f t="shared" si="0"/>
        <v>Friday Night Lights</v>
      </c>
      <c r="C30" s="11"/>
      <c r="D30" s="12" t="s">
        <v>101</v>
      </c>
      <c r="E30" s="12" t="s">
        <v>102</v>
      </c>
    </row>
    <row r="31" spans="1:5">
      <c r="A31" s="12" t="s">
        <v>93</v>
      </c>
      <c r="B31" s="13" t="str">
        <f t="shared" si="0"/>
        <v>Friends</v>
      </c>
      <c r="C31" s="11"/>
      <c r="D31" s="12" t="s">
        <v>103</v>
      </c>
      <c r="E31" s="12" t="s">
        <v>104</v>
      </c>
    </row>
    <row r="32" spans="1:5">
      <c r="A32" s="12" t="s">
        <v>105</v>
      </c>
      <c r="B32" s="13" t="str">
        <f t="shared" si="0"/>
        <v>Monk</v>
      </c>
      <c r="C32" s="11"/>
      <c r="D32" s="12" t="s">
        <v>106</v>
      </c>
      <c r="E32" s="12" t="s">
        <v>107</v>
      </c>
    </row>
    <row r="33" spans="1:5">
      <c r="A33" s="12" t="s">
        <v>108</v>
      </c>
      <c r="B33" s="13" t="str">
        <f t="shared" si="0"/>
        <v>Frasier</v>
      </c>
      <c r="C33" s="11"/>
      <c r="D33" s="12" t="s">
        <v>109</v>
      </c>
      <c r="E33" s="12" t="s">
        <v>110</v>
      </c>
    </row>
    <row r="34" spans="1:5">
      <c r="A34" s="12" t="s">
        <v>56</v>
      </c>
      <c r="B34" s="13" t="str">
        <f t="shared" si="0"/>
        <v>Cheers</v>
      </c>
      <c r="C34" s="11"/>
      <c r="D34" s="12" t="s">
        <v>63</v>
      </c>
      <c r="E34" s="12" t="s">
        <v>111</v>
      </c>
    </row>
    <row r="35" spans="1:5">
      <c r="A35" s="12" t="s">
        <v>77</v>
      </c>
      <c r="B35" s="13" t="str">
        <f t="shared" si="0"/>
        <v>Modern Family</v>
      </c>
      <c r="C35" s="11"/>
      <c r="D35" s="12" t="s">
        <v>82</v>
      </c>
      <c r="E35" s="12" t="s">
        <v>112</v>
      </c>
    </row>
    <row r="36" spans="1:5">
      <c r="A36" s="12" t="s">
        <v>103</v>
      </c>
      <c r="B36" s="13" t="str">
        <f t="shared" si="0"/>
        <v>Futurama</v>
      </c>
      <c r="C36" s="11"/>
      <c r="D36" s="12" t="s">
        <v>90</v>
      </c>
      <c r="E36" s="12" t="s">
        <v>110</v>
      </c>
    </row>
    <row r="37" spans="1:5">
      <c r="A37" s="11"/>
      <c r="B37" s="11"/>
      <c r="C37" s="11"/>
      <c r="D37" s="12" t="s">
        <v>87</v>
      </c>
      <c r="E37" s="12" t="s">
        <v>113</v>
      </c>
    </row>
    <row r="38" spans="1:5">
      <c r="A38" s="11"/>
      <c r="B38" s="11"/>
      <c r="C38" s="11"/>
      <c r="D38" s="12" t="s">
        <v>76</v>
      </c>
      <c r="E38" s="12" t="s">
        <v>114</v>
      </c>
    </row>
    <row r="39" spans="1:5">
      <c r="A39" s="11"/>
      <c r="B39" s="11"/>
      <c r="C39" s="11"/>
      <c r="D39" s="12" t="s">
        <v>57</v>
      </c>
      <c r="E39" s="12" t="s">
        <v>115</v>
      </c>
    </row>
    <row r="40" spans="1:5">
      <c r="A40" s="11"/>
      <c r="B40" s="11"/>
      <c r="C40" s="11"/>
      <c r="D40" s="12" t="s">
        <v>116</v>
      </c>
      <c r="E40" s="12" t="s">
        <v>117</v>
      </c>
    </row>
    <row r="41" spans="1:5">
      <c r="A41" s="11"/>
      <c r="B41" s="11"/>
      <c r="C41" s="11"/>
      <c r="D41" s="12" t="s">
        <v>52</v>
      </c>
      <c r="E41" s="12" t="s">
        <v>92</v>
      </c>
    </row>
    <row r="42" spans="1:5">
      <c r="A42" s="11"/>
      <c r="B42" s="11"/>
      <c r="C42" s="11"/>
      <c r="D42" s="12" t="s">
        <v>118</v>
      </c>
      <c r="E42" s="12" t="s">
        <v>94</v>
      </c>
    </row>
    <row r="43" spans="1:5">
      <c r="A43" s="11"/>
      <c r="B43" s="11"/>
      <c r="C43" s="11"/>
      <c r="D43" s="12" t="s">
        <v>45</v>
      </c>
      <c r="E43" s="12" t="s">
        <v>119</v>
      </c>
    </row>
    <row r="44" spans="1:5">
      <c r="A44" s="11"/>
      <c r="B44" s="11"/>
      <c r="C44" s="11"/>
      <c r="D44" s="12" t="s">
        <v>105</v>
      </c>
      <c r="E44" s="12" t="s">
        <v>51</v>
      </c>
    </row>
    <row r="45" spans="1:5">
      <c r="A45" s="11"/>
      <c r="B45" s="11"/>
      <c r="C45" s="11"/>
      <c r="D45" s="12" t="s">
        <v>55</v>
      </c>
      <c r="E45" s="12" t="s">
        <v>120</v>
      </c>
    </row>
    <row r="46" spans="1:5">
      <c r="A46" s="11"/>
      <c r="B46" s="11"/>
      <c r="C46" s="11"/>
      <c r="D46" s="12" t="s">
        <v>49</v>
      </c>
      <c r="E46" s="12" t="s">
        <v>121</v>
      </c>
    </row>
    <row r="47" spans="1:5">
      <c r="A47" s="11"/>
      <c r="B47" s="11"/>
      <c r="C47" s="11"/>
      <c r="D47" s="12" t="s">
        <v>78</v>
      </c>
      <c r="E47" s="12" t="s">
        <v>110</v>
      </c>
    </row>
    <row r="48" spans="1:5">
      <c r="A48" s="11"/>
      <c r="B48" s="11"/>
      <c r="C48" s="11"/>
      <c r="D48" s="12" t="s">
        <v>97</v>
      </c>
      <c r="E48" s="12" t="s">
        <v>122</v>
      </c>
    </row>
    <row r="49" spans="1:5">
      <c r="A49" s="11"/>
      <c r="B49" s="11"/>
      <c r="C49" s="11"/>
      <c r="D49" s="12" t="s">
        <v>108</v>
      </c>
      <c r="E49" s="12" t="s">
        <v>123</v>
      </c>
    </row>
    <row r="50" spans="1:5">
      <c r="D50" s="12" t="s">
        <v>95</v>
      </c>
      <c r="E50" s="12" t="s">
        <v>124</v>
      </c>
    </row>
    <row r="51" spans="1:5">
      <c r="D51" s="12" t="s">
        <v>125</v>
      </c>
      <c r="E51" s="12" t="s">
        <v>126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workbookViewId="0">
      <selection activeCell="D4" sqref="D4"/>
    </sheetView>
  </sheetViews>
  <sheetFormatPr defaultRowHeight="21"/>
  <cols>
    <col min="1" max="1" width="7.26953125" bestFit="1" customWidth="1"/>
    <col min="2" max="2" width="5.453125" bestFit="1" customWidth="1"/>
    <col min="3" max="3" width="6.81640625" bestFit="1" customWidth="1"/>
    <col min="4" max="4" width="18.6328125" bestFit="1" customWidth="1"/>
    <col min="9" max="9" width="5.453125" bestFit="1" customWidth="1"/>
    <col min="10" max="10" width="14.81640625" bestFit="1" customWidth="1"/>
  </cols>
  <sheetData>
    <row r="1" spans="1:10">
      <c r="A1" s="139" t="s">
        <v>132</v>
      </c>
      <c r="B1" s="139"/>
      <c r="C1" s="139"/>
      <c r="D1" s="139"/>
    </row>
    <row r="2" spans="1:10" ht="21.75" thickBot="1"/>
    <row r="3" spans="1:10" ht="29.25" thickBot="1">
      <c r="A3" s="14" t="s">
        <v>133</v>
      </c>
      <c r="B3" s="14" t="s">
        <v>134</v>
      </c>
      <c r="C3" s="14" t="s">
        <v>135</v>
      </c>
      <c r="D3" s="14" t="s">
        <v>136</v>
      </c>
      <c r="I3" s="15" t="s">
        <v>137</v>
      </c>
      <c r="J3" s="16" t="s">
        <v>138</v>
      </c>
    </row>
    <row r="4" spans="1:10" ht="21.75" thickBot="1">
      <c r="A4" s="4" t="s">
        <v>139</v>
      </c>
      <c r="B4" s="4" t="s">
        <v>140</v>
      </c>
      <c r="C4" s="17" t="s">
        <v>131</v>
      </c>
      <c r="D4" s="4" t="str">
        <f>VLOOKUP($C4,$I$3:$J$47,2,0)</f>
        <v>Democratic</v>
      </c>
      <c r="I4" s="18">
        <v>1</v>
      </c>
      <c r="J4" s="19" t="s">
        <v>141</v>
      </c>
    </row>
    <row r="5" spans="1:10" ht="21.75" thickBot="1">
      <c r="A5" s="4" t="s">
        <v>142</v>
      </c>
      <c r="B5" s="4" t="s">
        <v>143</v>
      </c>
      <c r="C5" s="17">
        <v>1</v>
      </c>
      <c r="D5" s="4" t="str">
        <f t="shared" ref="D5:D9" si="0">VLOOKUP($C5,$I$3:$J$47,2,0)</f>
        <v>Green</v>
      </c>
      <c r="I5" s="18">
        <v>2</v>
      </c>
      <c r="J5" s="19" t="s">
        <v>144</v>
      </c>
    </row>
    <row r="6" spans="1:10" ht="21.75" thickBot="1">
      <c r="A6" s="4" t="s">
        <v>145</v>
      </c>
      <c r="B6" s="4" t="s">
        <v>146</v>
      </c>
      <c r="C6" s="17" t="s">
        <v>130</v>
      </c>
      <c r="D6" s="4" t="str">
        <f t="shared" si="0"/>
        <v>Republican</v>
      </c>
      <c r="I6" s="18">
        <v>3</v>
      </c>
      <c r="J6" s="19" t="s">
        <v>147</v>
      </c>
    </row>
    <row r="7" spans="1:10" ht="29.25" thickBot="1">
      <c r="A7" s="4" t="s">
        <v>148</v>
      </c>
      <c r="B7" s="4" t="s">
        <v>149</v>
      </c>
      <c r="C7" s="17" t="s">
        <v>128</v>
      </c>
      <c r="D7" s="4" t="str">
        <f t="shared" si="0"/>
        <v>American Independent</v>
      </c>
      <c r="I7" s="18">
        <v>4</v>
      </c>
      <c r="J7" s="19" t="s">
        <v>150</v>
      </c>
    </row>
    <row r="8" spans="1:10" ht="21.75" thickBot="1">
      <c r="A8" s="4" t="s">
        <v>151</v>
      </c>
      <c r="B8" s="4" t="s">
        <v>152</v>
      </c>
      <c r="C8" s="17" t="s">
        <v>128</v>
      </c>
      <c r="D8" s="4" t="str">
        <f t="shared" si="0"/>
        <v>American Independent</v>
      </c>
      <c r="I8" s="18">
        <v>5</v>
      </c>
      <c r="J8" s="19" t="s">
        <v>153</v>
      </c>
    </row>
    <row r="9" spans="1:10" ht="21.75" thickBot="1">
      <c r="A9" s="4" t="s">
        <v>154</v>
      </c>
      <c r="B9" s="4" t="s">
        <v>155</v>
      </c>
      <c r="C9" s="17">
        <v>7</v>
      </c>
      <c r="D9" s="4" t="str">
        <f t="shared" si="0"/>
        <v>Middle Class Pty</v>
      </c>
      <c r="I9" s="18">
        <v>6</v>
      </c>
      <c r="J9" s="19" t="s">
        <v>156</v>
      </c>
    </row>
    <row r="10" spans="1:10" ht="21.75" thickBot="1">
      <c r="I10" s="18">
        <v>7</v>
      </c>
      <c r="J10" s="19" t="s">
        <v>157</v>
      </c>
    </row>
    <row r="11" spans="1:10" ht="21.75" thickBot="1">
      <c r="I11" s="18">
        <v>8</v>
      </c>
      <c r="J11" s="19" t="s">
        <v>158</v>
      </c>
    </row>
    <row r="12" spans="1:10" ht="21.75" thickBot="1">
      <c r="I12" s="18">
        <v>9</v>
      </c>
      <c r="J12" s="19" t="s">
        <v>159</v>
      </c>
    </row>
    <row r="13" spans="1:10" ht="29.25" thickBot="1">
      <c r="I13" s="18">
        <v>10</v>
      </c>
      <c r="J13" s="19" t="s">
        <v>160</v>
      </c>
    </row>
    <row r="14" spans="1:10" ht="21.75" thickBot="1">
      <c r="I14" s="18">
        <v>11</v>
      </c>
      <c r="J14" s="19" t="s">
        <v>161</v>
      </c>
    </row>
    <row r="15" spans="1:10" ht="43.5" thickBot="1">
      <c r="I15" s="18">
        <v>12</v>
      </c>
      <c r="J15" s="19" t="s">
        <v>162</v>
      </c>
    </row>
    <row r="16" spans="1:10" ht="21.75" thickBot="1">
      <c r="I16" s="18">
        <v>13</v>
      </c>
      <c r="J16" s="19" t="s">
        <v>163</v>
      </c>
    </row>
    <row r="17" spans="9:10" ht="29.25" thickBot="1">
      <c r="I17" s="18">
        <v>14</v>
      </c>
      <c r="J17" s="19" t="s">
        <v>164</v>
      </c>
    </row>
    <row r="18" spans="9:10" ht="29.25" thickBot="1">
      <c r="I18" s="18">
        <v>15</v>
      </c>
      <c r="J18" s="19" t="s">
        <v>165</v>
      </c>
    </row>
    <row r="19" spans="9:10" ht="29.25" thickBot="1">
      <c r="I19" s="18">
        <v>16</v>
      </c>
      <c r="J19" s="19" t="s">
        <v>166</v>
      </c>
    </row>
    <row r="20" spans="9:10" ht="21.75" thickBot="1">
      <c r="I20" s="18">
        <v>17</v>
      </c>
      <c r="J20" s="19" t="s">
        <v>167</v>
      </c>
    </row>
    <row r="21" spans="9:10" ht="29.25" thickBot="1">
      <c r="I21" s="18">
        <v>18</v>
      </c>
      <c r="J21" s="19" t="s">
        <v>168</v>
      </c>
    </row>
    <row r="22" spans="9:10" ht="21.75" thickBot="1">
      <c r="I22" s="18" t="s">
        <v>131</v>
      </c>
      <c r="J22" s="19" t="s">
        <v>169</v>
      </c>
    </row>
    <row r="23" spans="9:10" ht="21.75" thickBot="1">
      <c r="I23" s="18" t="s">
        <v>130</v>
      </c>
      <c r="J23" s="19" t="s">
        <v>170</v>
      </c>
    </row>
    <row r="24" spans="9:10" ht="21.75" thickBot="1">
      <c r="I24" s="18" t="s">
        <v>129</v>
      </c>
      <c r="J24" s="19" t="s">
        <v>171</v>
      </c>
    </row>
    <row r="25" spans="9:10" ht="21.75" thickBot="1">
      <c r="I25" s="18" t="s">
        <v>128</v>
      </c>
      <c r="J25" s="19" t="s">
        <v>172</v>
      </c>
    </row>
    <row r="26" spans="9:10" ht="21.75" thickBot="1">
      <c r="I26" s="18" t="s">
        <v>173</v>
      </c>
      <c r="J26" s="19" t="s">
        <v>174</v>
      </c>
    </row>
    <row r="27" spans="9:10" ht="21.75" thickBot="1">
      <c r="I27" s="18" t="s">
        <v>127</v>
      </c>
      <c r="J27" s="19" t="s">
        <v>175</v>
      </c>
    </row>
    <row r="28" spans="9:10" ht="21.75" thickBot="1">
      <c r="I28" s="18" t="s">
        <v>176</v>
      </c>
      <c r="J28" s="19" t="s">
        <v>177</v>
      </c>
    </row>
    <row r="29" spans="9:10" ht="21.75" thickBot="1">
      <c r="I29" s="18" t="s">
        <v>178</v>
      </c>
      <c r="J29" s="19" t="s">
        <v>179</v>
      </c>
    </row>
    <row r="30" spans="9:10" ht="21.75" thickBot="1">
      <c r="I30" s="18" t="s">
        <v>180</v>
      </c>
      <c r="J30" s="19" t="s">
        <v>181</v>
      </c>
    </row>
    <row r="31" spans="9:10" ht="21.75" thickBot="1">
      <c r="I31" s="18" t="s">
        <v>182</v>
      </c>
      <c r="J31" s="19" t="s">
        <v>183</v>
      </c>
    </row>
    <row r="32" spans="9:10" ht="21.75" thickBot="1">
      <c r="I32" s="18" t="s">
        <v>184</v>
      </c>
      <c r="J32" s="19" t="s">
        <v>185</v>
      </c>
    </row>
    <row r="33" spans="9:10" ht="21.75" thickBot="1">
      <c r="I33" s="18" t="s">
        <v>186</v>
      </c>
      <c r="J33" s="19" t="s">
        <v>187</v>
      </c>
    </row>
    <row r="34" spans="9:10" ht="21.75" thickBot="1">
      <c r="I34" s="18" t="s">
        <v>188</v>
      </c>
      <c r="J34" s="19" t="s">
        <v>189</v>
      </c>
    </row>
    <row r="35" spans="9:10" ht="21.75" thickBot="1">
      <c r="I35" s="18" t="s">
        <v>190</v>
      </c>
      <c r="J35" s="19" t="s">
        <v>191</v>
      </c>
    </row>
    <row r="36" spans="9:10" ht="21.75" thickBot="1">
      <c r="I36" s="18" t="s">
        <v>192</v>
      </c>
      <c r="J36" s="19" t="s">
        <v>193</v>
      </c>
    </row>
    <row r="37" spans="9:10" ht="21.75" thickBot="1">
      <c r="I37" s="18" t="s">
        <v>194</v>
      </c>
      <c r="J37" s="19" t="s">
        <v>195</v>
      </c>
    </row>
    <row r="38" spans="9:10" ht="21.75" thickBot="1">
      <c r="I38" s="18" t="s">
        <v>196</v>
      </c>
      <c r="J38" s="19" t="s">
        <v>197</v>
      </c>
    </row>
    <row r="39" spans="9:10" ht="21.75" thickBot="1">
      <c r="I39" s="18" t="s">
        <v>198</v>
      </c>
      <c r="J39" s="19" t="s">
        <v>199</v>
      </c>
    </row>
    <row r="40" spans="9:10" ht="21.75" thickBot="1">
      <c r="I40" s="18" t="s">
        <v>200</v>
      </c>
      <c r="J40" s="19" t="s">
        <v>201</v>
      </c>
    </row>
    <row r="41" spans="9:10" ht="21.75" thickBot="1">
      <c r="I41" s="18" t="s">
        <v>202</v>
      </c>
      <c r="J41" s="19" t="s">
        <v>203</v>
      </c>
    </row>
    <row r="42" spans="9:10" ht="21.75" thickBot="1">
      <c r="I42" s="18" t="s">
        <v>204</v>
      </c>
      <c r="J42" s="19" t="s">
        <v>205</v>
      </c>
    </row>
    <row r="43" spans="9:10" ht="21.75" thickBot="1">
      <c r="I43" s="18" t="s">
        <v>206</v>
      </c>
      <c r="J43" s="19" t="s">
        <v>207</v>
      </c>
    </row>
    <row r="44" spans="9:10" ht="21.75" thickBot="1">
      <c r="I44" s="18" t="s">
        <v>208</v>
      </c>
      <c r="J44" s="19" t="s">
        <v>209</v>
      </c>
    </row>
    <row r="45" spans="9:10" ht="21.75" thickBot="1">
      <c r="I45" s="18" t="s">
        <v>210</v>
      </c>
      <c r="J45" s="19" t="s">
        <v>211</v>
      </c>
    </row>
    <row r="46" spans="9:10" ht="21.75" thickBot="1">
      <c r="I46" s="18" t="s">
        <v>212</v>
      </c>
      <c r="J46" s="19" t="s">
        <v>213</v>
      </c>
    </row>
    <row r="47" spans="9:10" ht="21.75" thickBot="1">
      <c r="I47" s="18" t="s">
        <v>214</v>
      </c>
      <c r="J47" s="19" t="s">
        <v>215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workbookViewId="0">
      <selection activeCell="G7" sqref="G7"/>
    </sheetView>
  </sheetViews>
  <sheetFormatPr defaultRowHeight="21"/>
  <cols>
    <col min="3" max="3" width="15.26953125" bestFit="1" customWidth="1"/>
    <col min="9" max="9" width="6.453125" bestFit="1" customWidth="1"/>
    <col min="10" max="10" width="17.36328125" bestFit="1" customWidth="1"/>
    <col min="11" max="11" width="8.453125" bestFit="1" customWidth="1"/>
  </cols>
  <sheetData>
    <row r="1" spans="1:11">
      <c r="A1" s="139" t="s">
        <v>216</v>
      </c>
      <c r="B1" s="139"/>
      <c r="C1" s="139"/>
      <c r="D1" s="139"/>
      <c r="E1" s="139"/>
    </row>
    <row r="3" spans="1:11">
      <c r="I3" s="20" t="s">
        <v>217</v>
      </c>
      <c r="J3" s="20" t="s">
        <v>218</v>
      </c>
      <c r="K3" s="21" t="s">
        <v>219</v>
      </c>
    </row>
    <row r="4" spans="1:11">
      <c r="A4" s="20" t="s">
        <v>220</v>
      </c>
      <c r="B4" s="20" t="s">
        <v>217</v>
      </c>
      <c r="C4" s="20" t="s">
        <v>218</v>
      </c>
      <c r="D4" s="21" t="s">
        <v>219</v>
      </c>
      <c r="E4" s="21" t="s">
        <v>221</v>
      </c>
      <c r="I4" s="22">
        <v>101</v>
      </c>
      <c r="J4" s="23" t="s">
        <v>222</v>
      </c>
      <c r="K4" s="24">
        <v>425</v>
      </c>
    </row>
    <row r="5" spans="1:11">
      <c r="A5" s="22">
        <v>1</v>
      </c>
      <c r="B5" s="22">
        <v>101</v>
      </c>
      <c r="C5" s="23" t="str">
        <f>VLOOKUP($B5,$I$3:$K$13,MATCH(C$4,$I$3:$K$3,0),0)</f>
        <v>Executive Swivel Chair</v>
      </c>
      <c r="D5" s="23">
        <f>VLOOKUP($B5,$I$3:$K$13,MATCH(D$4,$I$3:$K$3,0),0)</f>
        <v>425</v>
      </c>
      <c r="E5" s="23">
        <f>SUM(A5*D5)</f>
        <v>425</v>
      </c>
      <c r="I5" s="22">
        <v>102</v>
      </c>
      <c r="J5" s="23" t="s">
        <v>223</v>
      </c>
      <c r="K5" s="24">
        <v>225</v>
      </c>
    </row>
    <row r="6" spans="1:11">
      <c r="A6" s="22">
        <v>2</v>
      </c>
      <c r="B6" s="22">
        <v>103</v>
      </c>
      <c r="C6" s="23" t="str">
        <f t="shared" ref="C6:D10" si="0">VLOOKUP($B6,$I$3:$K$13,MATCH(C$4,$I$3:$K$3,0),0)</f>
        <v>Std Secretary Chair</v>
      </c>
      <c r="D6" s="23">
        <f t="shared" si="0"/>
        <v>145</v>
      </c>
      <c r="E6" s="23">
        <f t="shared" ref="E6:E10" si="1">SUM(A6*D6)</f>
        <v>290</v>
      </c>
      <c r="I6" s="22">
        <v>103</v>
      </c>
      <c r="J6" s="23" t="s">
        <v>224</v>
      </c>
      <c r="K6" s="24">
        <v>145</v>
      </c>
    </row>
    <row r="7" spans="1:11">
      <c r="A7" s="22">
        <v>3</v>
      </c>
      <c r="B7" s="22">
        <v>104</v>
      </c>
      <c r="C7" s="23" t="str">
        <f t="shared" si="0"/>
        <v>Deluxe Secretary Chair</v>
      </c>
      <c r="D7" s="23">
        <f t="shared" si="0"/>
        <v>185</v>
      </c>
      <c r="E7" s="23">
        <f t="shared" si="1"/>
        <v>555</v>
      </c>
      <c r="I7" s="22">
        <v>104</v>
      </c>
      <c r="J7" s="23" t="s">
        <v>225</v>
      </c>
      <c r="K7" s="24">
        <v>185</v>
      </c>
    </row>
    <row r="8" spans="1:11">
      <c r="A8" s="22">
        <v>1</v>
      </c>
      <c r="B8" s="22">
        <v>106</v>
      </c>
      <c r="C8" s="23" t="str">
        <f t="shared" si="0"/>
        <v>Double Pedestal Desk</v>
      </c>
      <c r="D8" s="23">
        <f t="shared" si="0"/>
        <v>1255</v>
      </c>
      <c r="E8" s="23">
        <f t="shared" si="1"/>
        <v>1255</v>
      </c>
      <c r="I8" s="22">
        <v>105</v>
      </c>
      <c r="J8" s="23" t="s">
        <v>226</v>
      </c>
      <c r="K8" s="24">
        <v>150</v>
      </c>
    </row>
    <row r="9" spans="1:11">
      <c r="A9" s="22">
        <v>2</v>
      </c>
      <c r="B9" s="22">
        <v>108</v>
      </c>
      <c r="C9" s="23" t="str">
        <f t="shared" si="0"/>
        <v>Executive Filing Cabinet</v>
      </c>
      <c r="D9" s="23">
        <f t="shared" si="0"/>
        <v>395</v>
      </c>
      <c r="E9" s="23">
        <f t="shared" si="1"/>
        <v>790</v>
      </c>
      <c r="I9" s="22">
        <v>106</v>
      </c>
      <c r="J9" s="23" t="s">
        <v>227</v>
      </c>
      <c r="K9" s="24">
        <v>1255</v>
      </c>
    </row>
    <row r="10" spans="1:11">
      <c r="A10" s="22">
        <v>3</v>
      </c>
      <c r="B10" s="22">
        <v>110</v>
      </c>
      <c r="C10" s="23" t="str">
        <f t="shared" si="0"/>
        <v>Contemporary Bookcase</v>
      </c>
      <c r="D10" s="23">
        <f t="shared" si="0"/>
        <v>650</v>
      </c>
      <c r="E10" s="23">
        <f t="shared" si="1"/>
        <v>1950</v>
      </c>
      <c r="I10" s="22">
        <v>107</v>
      </c>
      <c r="J10" s="23" t="s">
        <v>228</v>
      </c>
      <c r="K10" s="24">
        <v>950</v>
      </c>
    </row>
    <row r="11" spans="1:11">
      <c r="A11" s="25"/>
      <c r="B11" s="26"/>
      <c r="C11" s="27"/>
      <c r="D11" s="28"/>
      <c r="E11" s="23"/>
      <c r="I11" s="22">
        <v>108</v>
      </c>
      <c r="J11" s="23" t="s">
        <v>229</v>
      </c>
      <c r="K11" s="24">
        <v>395</v>
      </c>
    </row>
    <row r="12" spans="1:11">
      <c r="A12" s="29"/>
      <c r="B12" s="30"/>
      <c r="C12" s="30"/>
      <c r="D12" s="31"/>
      <c r="E12" s="32"/>
      <c r="I12" s="22">
        <v>109</v>
      </c>
      <c r="J12" s="23" t="s">
        <v>230</v>
      </c>
      <c r="K12" s="24">
        <v>65</v>
      </c>
    </row>
    <row r="13" spans="1:11">
      <c r="A13" s="33"/>
      <c r="B13" s="34"/>
      <c r="C13" s="34"/>
      <c r="D13" s="35" t="s">
        <v>231</v>
      </c>
      <c r="E13" s="28">
        <f>SUM(E5:E12)</f>
        <v>5265</v>
      </c>
      <c r="I13" s="22">
        <v>110</v>
      </c>
      <c r="J13" s="23" t="s">
        <v>232</v>
      </c>
      <c r="K13" s="24">
        <v>650</v>
      </c>
    </row>
    <row r="14" spans="1:11">
      <c r="A14" s="36"/>
      <c r="B14" s="37"/>
      <c r="C14" s="37"/>
      <c r="D14" s="38"/>
      <c r="E14" s="39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opLeftCell="C7" workbookViewId="0">
      <selection activeCell="M4" sqref="M4:M17"/>
    </sheetView>
  </sheetViews>
  <sheetFormatPr defaultRowHeight="21"/>
  <cols>
    <col min="6" max="6" width="11.7265625" bestFit="1" customWidth="1"/>
    <col min="12" max="12" width="11.26953125" bestFit="1" customWidth="1"/>
  </cols>
  <sheetData>
    <row r="1" spans="1:13">
      <c r="I1" s="139" t="s">
        <v>233</v>
      </c>
      <c r="J1" s="139"/>
      <c r="K1" s="139"/>
      <c r="L1" s="139"/>
    </row>
    <row r="3" spans="1:13">
      <c r="I3" s="1" t="s">
        <v>234</v>
      </c>
      <c r="J3" s="1" t="s">
        <v>138</v>
      </c>
      <c r="K3" s="1" t="s">
        <v>235</v>
      </c>
      <c r="L3" s="1" t="s">
        <v>236</v>
      </c>
      <c r="M3" s="1" t="s">
        <v>237</v>
      </c>
    </row>
    <row r="4" spans="1:13">
      <c r="A4" s="1" t="s">
        <v>234</v>
      </c>
      <c r="B4" s="1" t="s">
        <v>138</v>
      </c>
      <c r="C4" s="1" t="s">
        <v>235</v>
      </c>
      <c r="E4" s="1" t="s">
        <v>234</v>
      </c>
      <c r="F4" s="1" t="s">
        <v>236</v>
      </c>
      <c r="I4" s="7">
        <v>1001</v>
      </c>
      <c r="J4" s="70" t="str">
        <f>VLOOKUP($I4,$A$4:$C$18,MATCH(J$3,$A$4:$C$4,0),0)</f>
        <v>AMAN</v>
      </c>
      <c r="K4" s="70">
        <f>VLOOKUP($I4,$A$4:$C$18,MATCH(K$3,$A$4:$C$4,0),0)</f>
        <v>13331</v>
      </c>
      <c r="L4" s="4" t="str">
        <f>IFERROR(VLOOKUP($I4,$E$4:$F$9,MATCH($L$3,$E$4:$F$4,0),0),"not hired")</f>
        <v>JAN</v>
      </c>
      <c r="M4" s="4" t="str">
        <f>IFERROR(VLOOKUP($I4,$E$11:$F$17,MATCH($M$3,$E$11:$F$11,0),0),"not yet")</f>
        <v>not yet</v>
      </c>
    </row>
    <row r="5" spans="1:13">
      <c r="A5" s="7">
        <v>1001</v>
      </c>
      <c r="B5" s="7" t="s">
        <v>238</v>
      </c>
      <c r="C5" s="7">
        <v>13331</v>
      </c>
      <c r="E5" s="7">
        <v>1001</v>
      </c>
      <c r="F5" s="7" t="s">
        <v>239</v>
      </c>
      <c r="I5" s="7">
        <v>1002</v>
      </c>
      <c r="J5" s="70" t="str">
        <f t="shared" ref="J5:K17" si="0">VLOOKUP($I5,$A$4:$C$18,MATCH(J$3,$A$4:$C$4,0),0)</f>
        <v>AKASH</v>
      </c>
      <c r="K5" s="70">
        <f t="shared" si="0"/>
        <v>14099</v>
      </c>
      <c r="L5" s="4" t="str">
        <f t="shared" ref="L5:L17" si="1">IFERROR(VLOOKUP($I5,$E$4:$F$9,MATCH($L$3,$E$4:$F$4,0),0),"not hired")</f>
        <v>not hired</v>
      </c>
      <c r="M5" s="4" t="str">
        <f t="shared" ref="M5:M17" si="2">IFERROR(VLOOKUP($I5,$E$11:$F$17,MATCH($M$3,$E$11:$F$11,0),0),"not yet")</f>
        <v>WEST</v>
      </c>
    </row>
    <row r="6" spans="1:13">
      <c r="A6" s="7">
        <v>1002</v>
      </c>
      <c r="B6" s="7" t="s">
        <v>240</v>
      </c>
      <c r="C6" s="7">
        <v>14099</v>
      </c>
      <c r="E6" s="7">
        <v>1005</v>
      </c>
      <c r="F6" s="7" t="s">
        <v>241</v>
      </c>
      <c r="I6" s="7">
        <v>1003</v>
      </c>
      <c r="J6" s="70" t="str">
        <f t="shared" si="0"/>
        <v>AJAY</v>
      </c>
      <c r="K6" s="70">
        <f t="shared" si="0"/>
        <v>13011</v>
      </c>
      <c r="L6" s="4" t="str">
        <f t="shared" si="1"/>
        <v>not hired</v>
      </c>
      <c r="M6" s="4" t="str">
        <f t="shared" si="2"/>
        <v>NORTH</v>
      </c>
    </row>
    <row r="7" spans="1:13">
      <c r="A7" s="7">
        <v>1003</v>
      </c>
      <c r="B7" s="7" t="s">
        <v>242</v>
      </c>
      <c r="C7" s="7">
        <v>13011</v>
      </c>
      <c r="E7" s="7">
        <v>1006</v>
      </c>
      <c r="F7" s="7" t="s">
        <v>243</v>
      </c>
      <c r="I7" s="7">
        <v>1004</v>
      </c>
      <c r="J7" s="70" t="str">
        <f t="shared" si="0"/>
        <v>RAM</v>
      </c>
      <c r="K7" s="70">
        <f t="shared" si="0"/>
        <v>15835</v>
      </c>
      <c r="L7" s="4" t="str">
        <f t="shared" si="1"/>
        <v>SEP</v>
      </c>
      <c r="M7" s="4" t="str">
        <f t="shared" si="2"/>
        <v>not yet</v>
      </c>
    </row>
    <row r="8" spans="1:13">
      <c r="A8" s="7">
        <v>1004</v>
      </c>
      <c r="B8" s="7" t="s">
        <v>244</v>
      </c>
      <c r="C8" s="7">
        <v>15835</v>
      </c>
      <c r="E8" s="7">
        <v>1011</v>
      </c>
      <c r="F8" s="7" t="s">
        <v>245</v>
      </c>
      <c r="I8" s="7">
        <v>1005</v>
      </c>
      <c r="J8" s="70" t="str">
        <f t="shared" si="0"/>
        <v>RAJ</v>
      </c>
      <c r="K8" s="70">
        <f t="shared" si="0"/>
        <v>16403</v>
      </c>
      <c r="L8" s="4" t="str">
        <f t="shared" si="1"/>
        <v>MAR</v>
      </c>
      <c r="M8" s="4" t="str">
        <f t="shared" si="2"/>
        <v>not yet</v>
      </c>
    </row>
    <row r="9" spans="1:13">
      <c r="A9" s="7">
        <v>1005</v>
      </c>
      <c r="B9" s="7" t="s">
        <v>246</v>
      </c>
      <c r="C9" s="7">
        <v>16403</v>
      </c>
      <c r="E9" s="7">
        <v>1004</v>
      </c>
      <c r="F9" s="7" t="s">
        <v>247</v>
      </c>
      <c r="I9" s="7">
        <v>1006</v>
      </c>
      <c r="J9" s="70" t="str">
        <f t="shared" si="0"/>
        <v>SIMRAN</v>
      </c>
      <c r="K9" s="70">
        <f t="shared" si="0"/>
        <v>14233</v>
      </c>
      <c r="L9" s="4" t="str">
        <f t="shared" si="1"/>
        <v>AUG</v>
      </c>
      <c r="M9" s="4" t="str">
        <f t="shared" si="2"/>
        <v>EAST</v>
      </c>
    </row>
    <row r="10" spans="1:13">
      <c r="A10" s="7">
        <v>1006</v>
      </c>
      <c r="B10" s="7" t="s">
        <v>248</v>
      </c>
      <c r="C10" s="7">
        <v>14233</v>
      </c>
      <c r="I10" s="7">
        <v>1007</v>
      </c>
      <c r="J10" s="70" t="str">
        <f t="shared" si="0"/>
        <v>GARIMA</v>
      </c>
      <c r="K10" s="70">
        <f t="shared" si="0"/>
        <v>13078</v>
      </c>
      <c r="L10" s="4" t="str">
        <f t="shared" si="1"/>
        <v>not hired</v>
      </c>
      <c r="M10" s="4" t="str">
        <f t="shared" si="2"/>
        <v>not yet</v>
      </c>
    </row>
    <row r="11" spans="1:13">
      <c r="A11" s="7">
        <v>1007</v>
      </c>
      <c r="B11" s="7" t="s">
        <v>249</v>
      </c>
      <c r="C11" s="7">
        <v>13078</v>
      </c>
      <c r="E11" s="1" t="s">
        <v>234</v>
      </c>
      <c r="F11" s="1" t="s">
        <v>237</v>
      </c>
      <c r="I11" s="7">
        <v>1008</v>
      </c>
      <c r="J11" s="70" t="str">
        <f t="shared" si="0"/>
        <v>PURNIMA</v>
      </c>
      <c r="K11" s="70">
        <f t="shared" si="0"/>
        <v>13896</v>
      </c>
      <c r="L11" s="4" t="str">
        <f t="shared" si="1"/>
        <v>not hired</v>
      </c>
      <c r="M11" s="4" t="str">
        <f t="shared" si="2"/>
        <v>SOUTH</v>
      </c>
    </row>
    <row r="12" spans="1:13">
      <c r="A12" s="7">
        <v>1008</v>
      </c>
      <c r="B12" s="7" t="s">
        <v>250</v>
      </c>
      <c r="C12" s="7">
        <v>13896</v>
      </c>
      <c r="E12" s="40">
        <v>1002</v>
      </c>
      <c r="F12" s="7" t="s">
        <v>251</v>
      </c>
      <c r="I12" s="7">
        <v>1009</v>
      </c>
      <c r="J12" s="70" t="str">
        <f t="shared" si="0"/>
        <v>RAHUL</v>
      </c>
      <c r="K12" s="70">
        <f t="shared" si="0"/>
        <v>18767</v>
      </c>
      <c r="L12" s="4" t="str">
        <f t="shared" si="1"/>
        <v>not hired</v>
      </c>
      <c r="M12" s="4" t="str">
        <f t="shared" si="2"/>
        <v>not yet</v>
      </c>
    </row>
    <row r="13" spans="1:13">
      <c r="A13" s="7">
        <v>1009</v>
      </c>
      <c r="B13" s="7" t="s">
        <v>252</v>
      </c>
      <c r="C13" s="7">
        <v>18767</v>
      </c>
      <c r="E13" s="7">
        <v>1006</v>
      </c>
      <c r="F13" s="7" t="s">
        <v>253</v>
      </c>
      <c r="I13" s="7">
        <v>1010</v>
      </c>
      <c r="J13" s="70" t="str">
        <f t="shared" si="0"/>
        <v>RAJAT</v>
      </c>
      <c r="K13" s="70">
        <f t="shared" si="0"/>
        <v>17350</v>
      </c>
      <c r="L13" s="4" t="str">
        <f t="shared" si="1"/>
        <v>not hired</v>
      </c>
      <c r="M13" s="4" t="str">
        <f t="shared" si="2"/>
        <v>not yet</v>
      </c>
    </row>
    <row r="14" spans="1:13">
      <c r="A14" s="7">
        <v>1010</v>
      </c>
      <c r="B14" s="7" t="s">
        <v>254</v>
      </c>
      <c r="C14" s="7">
        <v>17350</v>
      </c>
      <c r="E14" s="7">
        <v>1008</v>
      </c>
      <c r="F14" s="7" t="s">
        <v>255</v>
      </c>
      <c r="I14" s="7">
        <v>1011</v>
      </c>
      <c r="J14" s="70" t="str">
        <f t="shared" si="0"/>
        <v>RACHIT</v>
      </c>
      <c r="K14" s="70">
        <f t="shared" si="0"/>
        <v>15367</v>
      </c>
      <c r="L14" s="4" t="str">
        <f t="shared" si="1"/>
        <v>DEC</v>
      </c>
      <c r="M14" s="4" t="str">
        <f t="shared" si="2"/>
        <v>EAST</v>
      </c>
    </row>
    <row r="15" spans="1:13">
      <c r="A15" s="7">
        <v>1011</v>
      </c>
      <c r="B15" s="7" t="s">
        <v>256</v>
      </c>
      <c r="C15" s="7">
        <v>15367</v>
      </c>
      <c r="E15" s="7">
        <v>1011</v>
      </c>
      <c r="F15" s="7" t="s">
        <v>253</v>
      </c>
      <c r="I15" s="7">
        <v>1012</v>
      </c>
      <c r="J15" s="70" t="str">
        <f>VLOOKUP($I15,$A$4:$C$18,MATCH(J$3,$A$4:$C$4,0),0)</f>
        <v>NISHA</v>
      </c>
      <c r="K15" s="70">
        <f>VLOOKUP($I15,$A$4:$C$18,MATCH(K$3,$A$4:$C$4,0),0)</f>
        <v>15668</v>
      </c>
      <c r="L15" s="4" t="str">
        <f t="shared" si="1"/>
        <v>not hired</v>
      </c>
      <c r="M15" s="4" t="str">
        <f t="shared" si="2"/>
        <v>not yet</v>
      </c>
    </row>
    <row r="16" spans="1:13">
      <c r="A16" s="7">
        <v>1012</v>
      </c>
      <c r="B16" s="7" t="s">
        <v>257</v>
      </c>
      <c r="C16" s="7">
        <v>15668</v>
      </c>
      <c r="E16" s="7">
        <v>1003</v>
      </c>
      <c r="F16" s="7" t="s">
        <v>258</v>
      </c>
      <c r="I16" s="7">
        <v>1013</v>
      </c>
      <c r="J16" s="70" t="str">
        <f t="shared" si="0"/>
        <v>BHAWNA</v>
      </c>
      <c r="K16" s="70">
        <f t="shared" si="0"/>
        <v>17955</v>
      </c>
      <c r="L16" s="4" t="str">
        <f t="shared" si="1"/>
        <v>not hired</v>
      </c>
      <c r="M16" s="4" t="str">
        <f t="shared" si="2"/>
        <v>not yet</v>
      </c>
    </row>
    <row r="17" spans="1:13">
      <c r="A17" s="7">
        <v>1013</v>
      </c>
      <c r="B17" s="7" t="s">
        <v>259</v>
      </c>
      <c r="C17" s="7">
        <v>17955</v>
      </c>
      <c r="E17" s="7">
        <v>1014</v>
      </c>
      <c r="F17" s="7" t="s">
        <v>251</v>
      </c>
      <c r="I17" s="7">
        <v>1014</v>
      </c>
      <c r="J17" s="70" t="str">
        <f t="shared" si="0"/>
        <v>HARRY</v>
      </c>
      <c r="K17" s="70">
        <f t="shared" si="0"/>
        <v>12132</v>
      </c>
      <c r="L17" s="4" t="str">
        <f t="shared" si="1"/>
        <v>not hired</v>
      </c>
      <c r="M17" s="4" t="str">
        <f t="shared" si="2"/>
        <v>WEST</v>
      </c>
    </row>
    <row r="18" spans="1:13">
      <c r="A18" s="7">
        <v>1014</v>
      </c>
      <c r="B18" s="7" t="s">
        <v>260</v>
      </c>
      <c r="C18" s="7">
        <v>12132</v>
      </c>
    </row>
  </sheetData>
  <mergeCells count="1">
    <mergeCell ref="I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showGridLines="0" zoomScale="70" zoomScaleNormal="70" workbookViewId="0">
      <selection activeCell="I41" sqref="I41"/>
    </sheetView>
  </sheetViews>
  <sheetFormatPr defaultRowHeight="21"/>
  <cols>
    <col min="2" max="2" width="15.6328125" bestFit="1" customWidth="1"/>
    <col min="3" max="3" width="10.90625" bestFit="1" customWidth="1"/>
    <col min="4" max="4" width="12.1796875" bestFit="1" customWidth="1"/>
    <col min="7" max="7" width="17.1796875" bestFit="1" customWidth="1"/>
    <col min="8" max="8" width="13.1796875" bestFit="1" customWidth="1"/>
    <col min="9" max="9" width="12.1796875" bestFit="1" customWidth="1"/>
    <col min="12" max="12" width="11.08984375" bestFit="1" customWidth="1"/>
    <col min="13" max="13" width="14.90625" bestFit="1" customWidth="1"/>
    <col min="14" max="14" width="16.36328125" customWidth="1"/>
  </cols>
  <sheetData>
    <row r="1" spans="1:14">
      <c r="K1" s="139" t="s">
        <v>261</v>
      </c>
      <c r="L1" s="139"/>
      <c r="M1" s="139"/>
      <c r="N1" s="139"/>
    </row>
    <row r="2" spans="1:14">
      <c r="A2" s="140" t="s">
        <v>262</v>
      </c>
      <c r="B2" s="140"/>
      <c r="C2" s="140"/>
      <c r="D2" s="140"/>
      <c r="F2" s="141" t="s">
        <v>263</v>
      </c>
      <c r="G2" s="141"/>
      <c r="H2" s="141"/>
      <c r="I2" s="141"/>
    </row>
    <row r="3" spans="1:14">
      <c r="A3" s="41" t="s">
        <v>264</v>
      </c>
      <c r="B3" s="41" t="s">
        <v>265</v>
      </c>
      <c r="C3" s="41" t="s">
        <v>266</v>
      </c>
      <c r="D3" s="42" t="s">
        <v>2</v>
      </c>
      <c r="E3" s="43"/>
      <c r="F3" s="44" t="s">
        <v>264</v>
      </c>
      <c r="G3" s="44" t="s">
        <v>265</v>
      </c>
      <c r="H3" s="44" t="s">
        <v>266</v>
      </c>
      <c r="I3" s="44" t="s">
        <v>2</v>
      </c>
      <c r="J3" s="45"/>
      <c r="K3" s="46" t="s">
        <v>264</v>
      </c>
      <c r="L3" s="46" t="s">
        <v>266</v>
      </c>
      <c r="M3" s="46" t="s">
        <v>265</v>
      </c>
      <c r="N3" s="46" t="s">
        <v>2</v>
      </c>
    </row>
    <row r="4" spans="1:14">
      <c r="A4" s="47" t="s">
        <v>267</v>
      </c>
      <c r="B4" s="47" t="s">
        <v>268</v>
      </c>
      <c r="C4" s="47" t="s">
        <v>269</v>
      </c>
      <c r="D4" s="48">
        <v>21502</v>
      </c>
      <c r="E4" s="43"/>
      <c r="F4" s="49" t="s">
        <v>270</v>
      </c>
      <c r="G4" s="49" t="s">
        <v>271</v>
      </c>
      <c r="H4" s="49" t="s">
        <v>272</v>
      </c>
      <c r="I4" s="50">
        <v>67749</v>
      </c>
      <c r="J4" s="51"/>
      <c r="K4" s="52" t="s">
        <v>273</v>
      </c>
      <c r="L4" s="68" t="str">
        <f>IFERROR(VLOOKUP($K4,$A$3:$D$12,MATCH(L$3,$A$3:$D$3,0),0),IFERROR(VLOOKUP($K4,$F$3:$I$12,MATCH(L$3,$F$3:$I$3,0),0),IFERROR(VLOOKUP($K4,$A$15:$D$23,MATCH(L$3,$A$15:$D$15,0),0),IFERROR(VLOOKUP($K4,$F$15:$I$23,MATCH(L$3,$F$15:$I$15,0),0),"not found"))))</f>
        <v>Administration</v>
      </c>
      <c r="M4" s="68" t="str">
        <f t="shared" ref="M4:N19" si="0">IFERROR(VLOOKUP($K4,$A$3:$D$12,MATCH(M$3,$A$3:$D$3,0),0),IFERROR(VLOOKUP($K4,$F$3:$I$12,MATCH(M$3,$F$3:$I$3,0),0),IFERROR(VLOOKUP($K4,$A$15:$D$23,MATCH(M$3,$A$15:$D$15,0),0),IFERROR(VLOOKUP($K4,$F$15:$I$23,MATCH(M$3,$F$15:$I$15,0),0),"not found"))))</f>
        <v>Alfred Hawking</v>
      </c>
      <c r="N4" s="68">
        <f t="shared" si="0"/>
        <v>68781</v>
      </c>
    </row>
    <row r="5" spans="1:14">
      <c r="A5" s="53" t="s">
        <v>274</v>
      </c>
      <c r="B5" s="53" t="s">
        <v>275</v>
      </c>
      <c r="C5" s="53" t="s">
        <v>276</v>
      </c>
      <c r="D5" s="54">
        <v>65089</v>
      </c>
      <c r="E5" s="43"/>
      <c r="F5" s="55" t="s">
        <v>277</v>
      </c>
      <c r="G5" s="55" t="s">
        <v>278</v>
      </c>
      <c r="H5" s="55" t="s">
        <v>272</v>
      </c>
      <c r="I5" s="56">
        <v>21929</v>
      </c>
      <c r="J5" s="51"/>
      <c r="K5" s="52" t="s">
        <v>279</v>
      </c>
      <c r="L5" s="68" t="str">
        <f t="shared" ref="L5:N37" si="1">IFERROR(VLOOKUP($K5,$A$3:$D$12,MATCH(L$3,$A$3:$D$3,0),0),IFERROR(VLOOKUP($K5,$F$3:$I$12,MATCH(L$3,$F$3:$I$3,0),0),IFERROR(VLOOKUP($K5,$A$15:$D$23,MATCH(L$3,$A$15:$D$15,0),0),IFERROR(VLOOKUP($K5,$F$15:$I$23,MATCH(L$3,$F$15:$I$15,0),0),"not found"))))</f>
        <v>Logistics</v>
      </c>
      <c r="M5" s="68" t="str">
        <f t="shared" si="0"/>
        <v>Andy Richards</v>
      </c>
      <c r="N5" s="68">
        <f t="shared" si="0"/>
        <v>29661</v>
      </c>
    </row>
    <row r="6" spans="1:14">
      <c r="A6" s="53" t="s">
        <v>280</v>
      </c>
      <c r="B6" s="53" t="s">
        <v>281</v>
      </c>
      <c r="C6" s="53" t="s">
        <v>272</v>
      </c>
      <c r="D6" s="54">
        <v>56485</v>
      </c>
      <c r="E6" s="43"/>
      <c r="F6" s="55" t="s">
        <v>273</v>
      </c>
      <c r="G6" s="55" t="s">
        <v>282</v>
      </c>
      <c r="H6" s="55" t="s">
        <v>283</v>
      </c>
      <c r="I6" s="56">
        <v>68781</v>
      </c>
      <c r="J6" s="51"/>
      <c r="K6" s="52" t="s">
        <v>270</v>
      </c>
      <c r="L6" s="68" t="str">
        <f t="shared" si="1"/>
        <v>Sales</v>
      </c>
      <c r="M6" s="68" t="str">
        <f t="shared" si="0"/>
        <v>Angelina Osbourne</v>
      </c>
      <c r="N6" s="68">
        <f t="shared" si="0"/>
        <v>67749</v>
      </c>
    </row>
    <row r="7" spans="1:14">
      <c r="A7" s="53" t="s">
        <v>284</v>
      </c>
      <c r="B7" s="53" t="s">
        <v>285</v>
      </c>
      <c r="C7" s="53" t="s">
        <v>276</v>
      </c>
      <c r="D7" s="54">
        <v>44030</v>
      </c>
      <c r="E7" s="43"/>
      <c r="F7" s="55" t="s">
        <v>286</v>
      </c>
      <c r="G7" s="55" t="s">
        <v>287</v>
      </c>
      <c r="H7" s="55" t="s">
        <v>288</v>
      </c>
      <c r="I7" s="56">
        <v>66534</v>
      </c>
      <c r="J7" s="51"/>
      <c r="K7" s="52" t="s">
        <v>289</v>
      </c>
      <c r="L7" s="68" t="str">
        <f t="shared" si="1"/>
        <v>Logistics</v>
      </c>
      <c r="M7" s="68" t="str">
        <f t="shared" si="0"/>
        <v>Betty Anan</v>
      </c>
      <c r="N7" s="68">
        <f t="shared" si="0"/>
        <v>54490</v>
      </c>
    </row>
    <row r="8" spans="1:14">
      <c r="A8" s="53" t="s">
        <v>290</v>
      </c>
      <c r="B8" s="53" t="s">
        <v>291</v>
      </c>
      <c r="C8" s="53" t="s">
        <v>292</v>
      </c>
      <c r="D8" s="54">
        <v>42881</v>
      </c>
      <c r="E8" s="43"/>
      <c r="F8" s="55" t="s">
        <v>279</v>
      </c>
      <c r="G8" s="55" t="s">
        <v>293</v>
      </c>
      <c r="H8" s="55" t="s">
        <v>276</v>
      </c>
      <c r="I8" s="56">
        <v>29661</v>
      </c>
      <c r="J8" s="51"/>
      <c r="K8" s="52" t="s">
        <v>294</v>
      </c>
      <c r="L8" s="68" t="str">
        <f t="shared" si="1"/>
        <v>Purchase</v>
      </c>
      <c r="M8" s="68" t="str">
        <f t="shared" si="0"/>
        <v>Bill Biggs</v>
      </c>
      <c r="N8" s="68">
        <f t="shared" si="0"/>
        <v>30226</v>
      </c>
    </row>
    <row r="9" spans="1:14">
      <c r="A9" s="53" t="s">
        <v>295</v>
      </c>
      <c r="B9" s="53" t="s">
        <v>296</v>
      </c>
      <c r="C9" s="53" t="s">
        <v>272</v>
      </c>
      <c r="D9" s="54">
        <v>64303</v>
      </c>
      <c r="E9" s="43"/>
      <c r="F9" s="55" t="s">
        <v>289</v>
      </c>
      <c r="G9" s="55" t="s">
        <v>297</v>
      </c>
      <c r="H9" s="55" t="s">
        <v>276</v>
      </c>
      <c r="I9" s="56">
        <v>54490</v>
      </c>
      <c r="J9" s="51"/>
      <c r="K9" s="52" t="s">
        <v>298</v>
      </c>
      <c r="L9" s="68" t="str">
        <f t="shared" si="1"/>
        <v>HR</v>
      </c>
      <c r="M9" s="68" t="str">
        <f t="shared" si="0"/>
        <v>Charles Davis</v>
      </c>
      <c r="N9" s="68">
        <f t="shared" si="0"/>
        <v>48076</v>
      </c>
    </row>
    <row r="10" spans="1:14">
      <c r="A10" s="53" t="s">
        <v>299</v>
      </c>
      <c r="B10" s="53" t="s">
        <v>300</v>
      </c>
      <c r="C10" s="53" t="s">
        <v>276</v>
      </c>
      <c r="D10" s="54">
        <v>40147</v>
      </c>
      <c r="E10" s="43"/>
      <c r="F10" s="55" t="s">
        <v>294</v>
      </c>
      <c r="G10" s="55" t="s">
        <v>301</v>
      </c>
      <c r="H10" s="55" t="s">
        <v>292</v>
      </c>
      <c r="I10" s="56">
        <v>30226</v>
      </c>
      <c r="J10" s="51"/>
      <c r="K10" s="52" t="s">
        <v>302</v>
      </c>
      <c r="L10" s="68" t="str">
        <f t="shared" si="1"/>
        <v>Sales</v>
      </c>
      <c r="M10" s="68" t="str">
        <f t="shared" si="0"/>
        <v>Charles Monroe</v>
      </c>
      <c r="N10" s="68">
        <f t="shared" si="0"/>
        <v>42520</v>
      </c>
    </row>
    <row r="11" spans="1:14">
      <c r="A11" s="53" t="s">
        <v>303</v>
      </c>
      <c r="B11" s="53" t="s">
        <v>304</v>
      </c>
      <c r="C11" s="53" t="s">
        <v>305</v>
      </c>
      <c r="D11" s="54">
        <v>65348</v>
      </c>
      <c r="E11" s="43"/>
      <c r="F11" s="55" t="s">
        <v>306</v>
      </c>
      <c r="G11" s="55" t="s">
        <v>307</v>
      </c>
      <c r="H11" s="55" t="s">
        <v>308</v>
      </c>
      <c r="I11" s="56">
        <v>62909</v>
      </c>
      <c r="J11" s="51"/>
      <c r="K11" s="52" t="s">
        <v>309</v>
      </c>
      <c r="L11" s="68" t="str">
        <f t="shared" si="1"/>
        <v>Finance</v>
      </c>
      <c r="M11" s="68" t="str">
        <f t="shared" si="0"/>
        <v>Chuck West</v>
      </c>
      <c r="N11" s="68">
        <f t="shared" si="0"/>
        <v>62983</v>
      </c>
    </row>
    <row r="12" spans="1:14">
      <c r="A12" s="53" t="s">
        <v>310</v>
      </c>
      <c r="B12" s="53" t="s">
        <v>311</v>
      </c>
      <c r="C12" s="53" t="s">
        <v>305</v>
      </c>
      <c r="D12" s="54">
        <v>24376</v>
      </c>
      <c r="E12" s="43"/>
      <c r="F12" s="55" t="s">
        <v>312</v>
      </c>
      <c r="G12" s="55" t="s">
        <v>313</v>
      </c>
      <c r="H12" s="55" t="s">
        <v>272</v>
      </c>
      <c r="I12" s="56">
        <v>37568</v>
      </c>
      <c r="J12" s="51"/>
      <c r="K12" s="52" t="s">
        <v>314</v>
      </c>
      <c r="L12" s="68" t="str">
        <f t="shared" si="1"/>
        <v>Finance</v>
      </c>
      <c r="M12" s="68" t="str">
        <f t="shared" si="0"/>
        <v>Dan Armstrong</v>
      </c>
      <c r="N12" s="68">
        <f t="shared" si="0"/>
        <v>22012</v>
      </c>
    </row>
    <row r="13" spans="1:14">
      <c r="J13" s="57"/>
      <c r="K13" s="52" t="s">
        <v>306</v>
      </c>
      <c r="L13" s="68" t="str">
        <f t="shared" si="1"/>
        <v>Purchasing</v>
      </c>
      <c r="M13" s="68" t="str">
        <f t="shared" si="0"/>
        <v>George Marley</v>
      </c>
      <c r="N13" s="68">
        <f t="shared" si="0"/>
        <v>62909</v>
      </c>
    </row>
    <row r="14" spans="1:14">
      <c r="A14" s="142" t="s">
        <v>315</v>
      </c>
      <c r="B14" s="142"/>
      <c r="C14" s="142"/>
      <c r="D14" s="142"/>
      <c r="E14" s="43"/>
      <c r="F14" s="143" t="s">
        <v>316</v>
      </c>
      <c r="G14" s="143"/>
      <c r="H14" s="143"/>
      <c r="I14" s="143"/>
      <c r="J14" s="45"/>
      <c r="K14" s="52" t="s">
        <v>295</v>
      </c>
      <c r="L14" s="68" t="str">
        <f t="shared" si="1"/>
        <v>Sales</v>
      </c>
      <c r="M14" s="68" t="str">
        <f t="shared" si="0"/>
        <v>Gloria Silverstone</v>
      </c>
      <c r="N14" s="68">
        <f t="shared" si="0"/>
        <v>64303</v>
      </c>
    </row>
    <row r="15" spans="1:14">
      <c r="A15" s="58" t="s">
        <v>264</v>
      </c>
      <c r="B15" s="58" t="s">
        <v>265</v>
      </c>
      <c r="C15" s="58" t="s">
        <v>266</v>
      </c>
      <c r="D15" s="58" t="s">
        <v>2</v>
      </c>
      <c r="E15" s="43"/>
      <c r="F15" s="59" t="s">
        <v>264</v>
      </c>
      <c r="G15" s="59" t="s">
        <v>265</v>
      </c>
      <c r="H15" s="59" t="s">
        <v>266</v>
      </c>
      <c r="I15" s="59" t="s">
        <v>2</v>
      </c>
      <c r="J15" s="51"/>
      <c r="K15" s="52" t="s">
        <v>277</v>
      </c>
      <c r="L15" s="68" t="str">
        <f t="shared" si="1"/>
        <v>Sales</v>
      </c>
      <c r="M15" s="68" t="str">
        <f t="shared" si="0"/>
        <v>Howard Simpson</v>
      </c>
      <c r="N15" s="68">
        <f t="shared" si="0"/>
        <v>21929</v>
      </c>
    </row>
    <row r="16" spans="1:14">
      <c r="A16" s="60" t="s">
        <v>317</v>
      </c>
      <c r="B16" s="60" t="s">
        <v>318</v>
      </c>
      <c r="C16" s="60" t="s">
        <v>288</v>
      </c>
      <c r="D16" s="61">
        <v>87567</v>
      </c>
      <c r="E16" s="43"/>
      <c r="F16" s="62" t="s">
        <v>298</v>
      </c>
      <c r="G16" s="62" t="s">
        <v>319</v>
      </c>
      <c r="H16" s="62" t="s">
        <v>320</v>
      </c>
      <c r="I16" s="63">
        <v>48076</v>
      </c>
      <c r="J16" s="51"/>
      <c r="K16" s="52" t="s">
        <v>312</v>
      </c>
      <c r="L16" s="68" t="str">
        <f t="shared" si="1"/>
        <v>Sales</v>
      </c>
      <c r="M16" s="68" t="str">
        <f t="shared" si="0"/>
        <v>JK Spears</v>
      </c>
      <c r="N16" s="68">
        <f t="shared" si="0"/>
        <v>37568</v>
      </c>
    </row>
    <row r="17" spans="1:14">
      <c r="A17" s="64" t="s">
        <v>302</v>
      </c>
      <c r="B17" s="64" t="s">
        <v>321</v>
      </c>
      <c r="C17" s="64" t="s">
        <v>272</v>
      </c>
      <c r="D17" s="65">
        <v>42520</v>
      </c>
      <c r="E17" s="43"/>
      <c r="F17" s="62" t="s">
        <v>322</v>
      </c>
      <c r="G17" s="66" t="s">
        <v>323</v>
      </c>
      <c r="H17" s="66" t="s">
        <v>276</v>
      </c>
      <c r="I17" s="67">
        <v>75123</v>
      </c>
      <c r="J17" s="51"/>
      <c r="K17" s="52" t="s">
        <v>284</v>
      </c>
      <c r="L17" s="68" t="str">
        <f t="shared" si="1"/>
        <v>Logistics</v>
      </c>
      <c r="M17" s="68" t="str">
        <f t="shared" si="0"/>
        <v>John Jennings</v>
      </c>
      <c r="N17" s="68">
        <f t="shared" si="0"/>
        <v>44030</v>
      </c>
    </row>
    <row r="18" spans="1:14">
      <c r="A18" s="64" t="s">
        <v>314</v>
      </c>
      <c r="B18" s="64" t="s">
        <v>324</v>
      </c>
      <c r="C18" s="64" t="s">
        <v>305</v>
      </c>
      <c r="D18" s="65">
        <v>22012</v>
      </c>
      <c r="E18" s="43"/>
      <c r="F18" s="62" t="s">
        <v>325</v>
      </c>
      <c r="G18" s="66" t="s">
        <v>326</v>
      </c>
      <c r="H18" s="66" t="s">
        <v>272</v>
      </c>
      <c r="I18" s="67">
        <v>23419</v>
      </c>
      <c r="J18" s="51"/>
      <c r="K18" s="52" t="s">
        <v>327</v>
      </c>
      <c r="L18" s="68" t="str">
        <f t="shared" si="1"/>
        <v>Sales</v>
      </c>
      <c r="M18" s="68" t="str">
        <f t="shared" si="0"/>
        <v>Johnny Caine</v>
      </c>
      <c r="N18" s="68">
        <f t="shared" si="0"/>
        <v>65678</v>
      </c>
    </row>
    <row r="19" spans="1:14">
      <c r="A19" s="64" t="s">
        <v>327</v>
      </c>
      <c r="B19" s="64" t="s">
        <v>328</v>
      </c>
      <c r="C19" s="64" t="s">
        <v>272</v>
      </c>
      <c r="D19" s="65">
        <v>65678</v>
      </c>
      <c r="E19" s="43"/>
      <c r="F19" s="62" t="s">
        <v>329</v>
      </c>
      <c r="G19" s="66" t="s">
        <v>330</v>
      </c>
      <c r="H19" s="66" t="s">
        <v>276</v>
      </c>
      <c r="I19" s="67">
        <v>44030</v>
      </c>
      <c r="J19" s="51"/>
      <c r="K19" s="52" t="s">
        <v>331</v>
      </c>
      <c r="L19" s="68" t="str">
        <f t="shared" si="1"/>
        <v>Purchase</v>
      </c>
      <c r="M19" s="68" t="str">
        <f t="shared" si="0"/>
        <v>Johnny Roberts</v>
      </c>
      <c r="N19" s="68">
        <f t="shared" si="0"/>
        <v>34526</v>
      </c>
    </row>
    <row r="20" spans="1:14">
      <c r="A20" s="64" t="s">
        <v>332</v>
      </c>
      <c r="B20" s="64" t="s">
        <v>333</v>
      </c>
      <c r="C20" s="64" t="s">
        <v>269</v>
      </c>
      <c r="D20" s="65">
        <v>54821</v>
      </c>
      <c r="E20" s="43"/>
      <c r="F20" s="62" t="s">
        <v>334</v>
      </c>
      <c r="G20" s="66" t="s">
        <v>335</v>
      </c>
      <c r="H20" s="66" t="s">
        <v>288</v>
      </c>
      <c r="I20" s="67">
        <v>98324</v>
      </c>
      <c r="J20" s="51"/>
      <c r="K20" s="52" t="s">
        <v>332</v>
      </c>
      <c r="L20" s="68" t="str">
        <f t="shared" si="1"/>
        <v>Quality</v>
      </c>
      <c r="M20" s="68" t="str">
        <f t="shared" si="1"/>
        <v>Michael Hicks</v>
      </c>
      <c r="N20" s="68">
        <f t="shared" si="1"/>
        <v>54821</v>
      </c>
    </row>
    <row r="21" spans="1:14">
      <c r="A21" s="64" t="s">
        <v>331</v>
      </c>
      <c r="B21" s="64" t="s">
        <v>336</v>
      </c>
      <c r="C21" s="64" t="s">
        <v>292</v>
      </c>
      <c r="D21" s="65">
        <v>34526</v>
      </c>
      <c r="E21" s="43"/>
      <c r="F21" s="62" t="s">
        <v>337</v>
      </c>
      <c r="G21" s="66" t="s">
        <v>338</v>
      </c>
      <c r="H21" s="66" t="s">
        <v>292</v>
      </c>
      <c r="I21" s="67">
        <v>32865</v>
      </c>
      <c r="J21" s="51"/>
      <c r="K21" s="52" t="s">
        <v>267</v>
      </c>
      <c r="L21" s="68" t="str">
        <f t="shared" si="1"/>
        <v>Quality</v>
      </c>
      <c r="M21" s="68" t="str">
        <f t="shared" si="1"/>
        <v>Michal Jolie</v>
      </c>
      <c r="N21" s="68">
        <f t="shared" si="1"/>
        <v>21502</v>
      </c>
    </row>
    <row r="22" spans="1:14">
      <c r="A22" s="64" t="s">
        <v>309</v>
      </c>
      <c r="B22" s="64" t="s">
        <v>339</v>
      </c>
      <c r="C22" s="64" t="s">
        <v>305</v>
      </c>
      <c r="D22" s="65">
        <v>62983</v>
      </c>
      <c r="E22" s="43"/>
      <c r="F22" s="62" t="s">
        <v>340</v>
      </c>
      <c r="G22" s="66" t="s">
        <v>341</v>
      </c>
      <c r="H22" s="66" t="s">
        <v>276</v>
      </c>
      <c r="I22" s="67">
        <v>29125</v>
      </c>
      <c r="J22" s="51"/>
      <c r="K22" s="52" t="s">
        <v>290</v>
      </c>
      <c r="L22" s="68" t="str">
        <f t="shared" si="1"/>
        <v>Purchase</v>
      </c>
      <c r="M22" s="68" t="str">
        <f t="shared" si="1"/>
        <v>Oprah Hilton</v>
      </c>
      <c r="N22" s="68">
        <f t="shared" si="1"/>
        <v>42881</v>
      </c>
    </row>
    <row r="23" spans="1:14">
      <c r="A23" s="64" t="s">
        <v>342</v>
      </c>
      <c r="B23" s="64" t="s">
        <v>343</v>
      </c>
      <c r="C23" s="64" t="s">
        <v>272</v>
      </c>
      <c r="D23" s="65">
        <v>44129</v>
      </c>
      <c r="E23" s="43"/>
      <c r="F23" s="62" t="s">
        <v>344</v>
      </c>
      <c r="G23" s="66" t="s">
        <v>345</v>
      </c>
      <c r="H23" s="66" t="s">
        <v>305</v>
      </c>
      <c r="I23" s="67">
        <v>39442</v>
      </c>
      <c r="K23" s="52" t="s">
        <v>274</v>
      </c>
      <c r="L23" s="68" t="str">
        <f t="shared" si="1"/>
        <v>Logistics</v>
      </c>
      <c r="M23" s="68" t="str">
        <f t="shared" si="1"/>
        <v>Ozzy Dickens</v>
      </c>
      <c r="N23" s="68">
        <f t="shared" si="1"/>
        <v>65089</v>
      </c>
    </row>
    <row r="24" spans="1:14">
      <c r="K24" s="52" t="s">
        <v>299</v>
      </c>
      <c r="L24" s="68" t="str">
        <f t="shared" si="1"/>
        <v>Logistics</v>
      </c>
      <c r="M24" s="68" t="str">
        <f t="shared" si="1"/>
        <v>Ozzy Rowling</v>
      </c>
      <c r="N24" s="68">
        <f t="shared" si="1"/>
        <v>40147</v>
      </c>
    </row>
    <row r="25" spans="1:14">
      <c r="K25" s="52" t="s">
        <v>280</v>
      </c>
      <c r="L25" s="68" t="str">
        <f t="shared" si="1"/>
        <v>Sales</v>
      </c>
      <c r="M25" s="68" t="str">
        <f t="shared" si="1"/>
        <v>Paris Winfrey</v>
      </c>
      <c r="N25" s="68">
        <f t="shared" si="1"/>
        <v>56485</v>
      </c>
    </row>
    <row r="26" spans="1:14">
      <c r="K26" s="52" t="s">
        <v>344</v>
      </c>
      <c r="L26" s="68" t="str">
        <f t="shared" si="1"/>
        <v>Finance</v>
      </c>
      <c r="M26" s="68" t="str">
        <f t="shared" si="1"/>
        <v>Paul Goodman</v>
      </c>
      <c r="N26" s="68">
        <f t="shared" si="1"/>
        <v>39442</v>
      </c>
    </row>
    <row r="27" spans="1:14">
      <c r="K27" s="52" t="s">
        <v>342</v>
      </c>
      <c r="L27" s="68" t="str">
        <f t="shared" si="1"/>
        <v>Sales</v>
      </c>
      <c r="M27" s="68" t="str">
        <f t="shared" si="1"/>
        <v>Ronnie Bush</v>
      </c>
      <c r="N27" s="68">
        <f t="shared" si="1"/>
        <v>44129</v>
      </c>
    </row>
    <row r="28" spans="1:14">
      <c r="K28" s="52" t="s">
        <v>303</v>
      </c>
      <c r="L28" s="68" t="str">
        <f t="shared" si="1"/>
        <v>Finance</v>
      </c>
      <c r="M28" s="68" t="str">
        <f t="shared" si="1"/>
        <v>Colin Sanderson</v>
      </c>
      <c r="N28" s="68">
        <f t="shared" si="1"/>
        <v>65348</v>
      </c>
    </row>
    <row r="29" spans="1:14">
      <c r="K29" s="52" t="s">
        <v>317</v>
      </c>
      <c r="L29" s="68" t="str">
        <f t="shared" si="1"/>
        <v>Analytics</v>
      </c>
      <c r="M29" s="68" t="str">
        <f t="shared" si="1"/>
        <v>Thomas Martin</v>
      </c>
      <c r="N29" s="68">
        <f t="shared" si="1"/>
        <v>87567</v>
      </c>
    </row>
    <row r="30" spans="1:14">
      <c r="K30" s="52" t="s">
        <v>286</v>
      </c>
      <c r="L30" s="68" t="str">
        <f t="shared" si="1"/>
        <v>Analytics</v>
      </c>
      <c r="M30" s="68" t="str">
        <f t="shared" si="1"/>
        <v>Mathias Nadaluti</v>
      </c>
      <c r="N30" s="68">
        <f t="shared" si="1"/>
        <v>66534</v>
      </c>
    </row>
    <row r="31" spans="1:14">
      <c r="K31" s="52" t="s">
        <v>322</v>
      </c>
      <c r="L31" s="68" t="str">
        <f t="shared" si="1"/>
        <v>Logistics</v>
      </c>
      <c r="M31" s="68" t="str">
        <f t="shared" si="1"/>
        <v>Betty Hilton</v>
      </c>
      <c r="N31" s="68">
        <f t="shared" si="1"/>
        <v>75123</v>
      </c>
    </row>
    <row r="32" spans="1:14">
      <c r="K32" s="52" t="s">
        <v>325</v>
      </c>
      <c r="L32" s="68" t="str">
        <f t="shared" si="1"/>
        <v>Sales</v>
      </c>
      <c r="M32" s="68" t="str">
        <f t="shared" si="1"/>
        <v>George Bush</v>
      </c>
      <c r="N32" s="68">
        <f t="shared" si="1"/>
        <v>23419</v>
      </c>
    </row>
    <row r="33" spans="11:14">
      <c r="K33" s="52" t="s">
        <v>329</v>
      </c>
      <c r="L33" s="68" t="str">
        <f t="shared" si="1"/>
        <v>Logistics</v>
      </c>
      <c r="M33" s="68" t="str">
        <f t="shared" si="1"/>
        <v>Brett Lee</v>
      </c>
      <c r="N33" s="68">
        <f t="shared" si="1"/>
        <v>44030</v>
      </c>
    </row>
    <row r="34" spans="11:14">
      <c r="K34" s="52" t="s">
        <v>334</v>
      </c>
      <c r="L34" s="68" t="str">
        <f t="shared" si="1"/>
        <v>Analytics</v>
      </c>
      <c r="M34" s="68" t="str">
        <f t="shared" si="1"/>
        <v>Natalie Jolie</v>
      </c>
      <c r="N34" s="68">
        <f t="shared" si="1"/>
        <v>98324</v>
      </c>
    </row>
    <row r="35" spans="11:14">
      <c r="K35" s="52" t="s">
        <v>337</v>
      </c>
      <c r="L35" s="68" t="str">
        <f t="shared" si="1"/>
        <v>Purchase</v>
      </c>
      <c r="M35" s="68" t="str">
        <f t="shared" si="1"/>
        <v>Kavita Murthy</v>
      </c>
      <c r="N35" s="68">
        <f t="shared" si="1"/>
        <v>32865</v>
      </c>
    </row>
    <row r="36" spans="11:14">
      <c r="K36" s="52" t="s">
        <v>340</v>
      </c>
      <c r="L36" s="68" t="str">
        <f t="shared" si="1"/>
        <v>Logistics</v>
      </c>
      <c r="M36" s="68" t="str">
        <f t="shared" si="1"/>
        <v>Mark Simpson</v>
      </c>
      <c r="N36" s="68">
        <f t="shared" si="1"/>
        <v>29125</v>
      </c>
    </row>
    <row r="37" spans="11:14">
      <c r="K37" s="52" t="s">
        <v>310</v>
      </c>
      <c r="L37" s="68" t="str">
        <f t="shared" si="1"/>
        <v>Finance</v>
      </c>
      <c r="M37" s="68" t="str">
        <f t="shared" si="1"/>
        <v>Britney Pauls</v>
      </c>
      <c r="N37" s="68">
        <f t="shared" si="1"/>
        <v>24376</v>
      </c>
    </row>
    <row r="38" spans="11:14">
      <c r="L38" s="68"/>
      <c r="M38" s="68"/>
      <c r="N38" s="68"/>
    </row>
    <row r="39" spans="11:14">
      <c r="L39" s="68"/>
      <c r="M39" s="68"/>
      <c r="N39" s="68"/>
    </row>
    <row r="40" spans="11:14">
      <c r="L40" s="68"/>
      <c r="M40" s="68"/>
      <c r="N40" s="68"/>
    </row>
    <row r="41" spans="11:14">
      <c r="L41" s="68"/>
      <c r="M41" s="68"/>
      <c r="N41" s="68"/>
    </row>
    <row r="42" spans="11:14">
      <c r="L42" s="68"/>
      <c r="M42" s="68"/>
      <c r="N42" s="68"/>
    </row>
  </sheetData>
  <mergeCells count="5">
    <mergeCell ref="K1:N1"/>
    <mergeCell ref="A2:D2"/>
    <mergeCell ref="F2:I2"/>
    <mergeCell ref="A14:D14"/>
    <mergeCell ref="F14:I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"/>
  <sheetViews>
    <sheetView showGridLines="0" workbookViewId="0">
      <selection activeCell="F3" sqref="F3:F9"/>
    </sheetView>
  </sheetViews>
  <sheetFormatPr defaultRowHeight="21"/>
  <cols>
    <col min="2" max="2" width="16.453125" customWidth="1"/>
    <col min="3" max="3" width="13.1796875" customWidth="1"/>
    <col min="4" max="4" width="10.26953125" customWidth="1"/>
    <col min="5" max="5" width="7.453125" customWidth="1"/>
  </cols>
  <sheetData>
    <row r="1" spans="2:9" ht="21.75" thickBot="1"/>
    <row r="2" spans="2:9" ht="21.75" thickBot="1">
      <c r="B2" s="72" t="s">
        <v>346</v>
      </c>
      <c r="C2" s="73" t="s">
        <v>347</v>
      </c>
      <c r="D2" s="73" t="s">
        <v>348</v>
      </c>
      <c r="E2" s="80" t="s">
        <v>349</v>
      </c>
      <c r="F2" s="74" t="s">
        <v>361</v>
      </c>
    </row>
    <row r="3" spans="2:9">
      <c r="B3" s="75">
        <v>1111546987</v>
      </c>
      <c r="C3" s="4" t="s">
        <v>350</v>
      </c>
      <c r="D3" s="4" t="s">
        <v>357</v>
      </c>
      <c r="E3" s="81">
        <v>45987</v>
      </c>
      <c r="F3" s="76" t="str">
        <f>VLOOKUP($E3,$H$3:$I$7,2,1)</f>
        <v>BEST</v>
      </c>
      <c r="H3" s="83">
        <v>10000</v>
      </c>
      <c r="I3" s="84" t="s">
        <v>362</v>
      </c>
    </row>
    <row r="4" spans="2:9">
      <c r="B4" s="75">
        <v>7895684786</v>
      </c>
      <c r="C4" s="4" t="s">
        <v>351</v>
      </c>
      <c r="D4" s="4" t="s">
        <v>358</v>
      </c>
      <c r="E4" s="81">
        <v>56423</v>
      </c>
      <c r="F4" s="76" t="str">
        <f t="shared" ref="F4:F9" si="0">VLOOKUP($E4,$H$3:$I$7,2,1)</f>
        <v>EXCELLENT</v>
      </c>
      <c r="H4" s="75">
        <v>20000</v>
      </c>
      <c r="I4" s="76" t="s">
        <v>363</v>
      </c>
    </row>
    <row r="5" spans="2:9">
      <c r="B5" s="75">
        <v>1236524156</v>
      </c>
      <c r="C5" s="4" t="s">
        <v>352</v>
      </c>
      <c r="D5" s="4" t="s">
        <v>359</v>
      </c>
      <c r="E5" s="81">
        <v>30000</v>
      </c>
      <c r="F5" s="76" t="str">
        <f t="shared" si="0"/>
        <v>GOOD</v>
      </c>
      <c r="H5" s="75">
        <v>30000</v>
      </c>
      <c r="I5" s="76" t="s">
        <v>364</v>
      </c>
    </row>
    <row r="6" spans="2:9">
      <c r="B6" s="75">
        <v>6546546465</v>
      </c>
      <c r="C6" s="4" t="s">
        <v>353</v>
      </c>
      <c r="D6" s="4" t="s">
        <v>360</v>
      </c>
      <c r="E6" s="81">
        <v>10236</v>
      </c>
      <c r="F6" s="76" t="str">
        <f t="shared" si="0"/>
        <v>POOR</v>
      </c>
      <c r="H6" s="75">
        <v>40000</v>
      </c>
      <c r="I6" s="76" t="s">
        <v>365</v>
      </c>
    </row>
    <row r="7" spans="2:9" ht="21.75" thickBot="1">
      <c r="B7" s="75">
        <v>7895684236</v>
      </c>
      <c r="C7" s="4" t="s">
        <v>354</v>
      </c>
      <c r="D7" s="4" t="s">
        <v>358</v>
      </c>
      <c r="E7" s="81">
        <v>45203</v>
      </c>
      <c r="F7" s="76" t="str">
        <f t="shared" si="0"/>
        <v>BEST</v>
      </c>
      <c r="H7" s="77">
        <v>50000</v>
      </c>
      <c r="I7" s="79" t="s">
        <v>366</v>
      </c>
    </row>
    <row r="8" spans="2:9">
      <c r="B8" s="75">
        <v>1032652012</v>
      </c>
      <c r="C8" s="4" t="s">
        <v>355</v>
      </c>
      <c r="D8" s="4" t="s">
        <v>357</v>
      </c>
      <c r="E8" s="81">
        <v>21000</v>
      </c>
      <c r="F8" s="76" t="str">
        <f t="shared" si="0"/>
        <v>AVERAGE</v>
      </c>
    </row>
    <row r="9" spans="2:9" ht="21.75" thickBot="1">
      <c r="B9" s="77">
        <v>1937468205</v>
      </c>
      <c r="C9" s="78" t="s">
        <v>356</v>
      </c>
      <c r="D9" s="78" t="s">
        <v>359</v>
      </c>
      <c r="E9" s="82">
        <v>10000</v>
      </c>
      <c r="F9" s="76" t="str">
        <f t="shared" si="0"/>
        <v>POOR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showGridLines="0" topLeftCell="A22" workbookViewId="0">
      <selection activeCell="G2" sqref="G2:I37"/>
    </sheetView>
  </sheetViews>
  <sheetFormatPr defaultColWidth="14.54296875" defaultRowHeight="12.75"/>
  <cols>
    <col min="1" max="1" width="22.7265625" style="86" bestFit="1" customWidth="1"/>
    <col min="2" max="2" width="10.08984375" style="86" customWidth="1"/>
    <col min="3" max="3" width="11.36328125" style="86" customWidth="1"/>
    <col min="4" max="4" width="9.90625" style="86" customWidth="1"/>
    <col min="5" max="5" width="2" style="86" customWidth="1"/>
    <col min="6" max="6" width="11.81640625" style="92" customWidth="1"/>
    <col min="7" max="7" width="10.08984375" style="98" customWidth="1"/>
    <col min="8" max="8" width="11.36328125" style="98" customWidth="1"/>
    <col min="9" max="9" width="9.90625" style="98" customWidth="1"/>
    <col min="10" max="16384" width="14.54296875" style="86"/>
  </cols>
  <sheetData>
    <row r="1" spans="1:12" ht="18" customHeight="1" thickBot="1">
      <c r="A1" s="85" t="s">
        <v>367</v>
      </c>
      <c r="B1" s="85" t="s">
        <v>368</v>
      </c>
      <c r="C1" s="85" t="s">
        <v>369</v>
      </c>
      <c r="D1" s="85" t="s">
        <v>370</v>
      </c>
      <c r="F1" s="87" t="s">
        <v>367</v>
      </c>
      <c r="G1" s="88" t="s">
        <v>368</v>
      </c>
      <c r="H1" s="88" t="s">
        <v>369</v>
      </c>
      <c r="I1" s="88" t="s">
        <v>370</v>
      </c>
    </row>
    <row r="2" spans="1:12" ht="13.5" thickBot="1">
      <c r="A2" s="89" t="s">
        <v>371</v>
      </c>
      <c r="B2" s="89" t="s">
        <v>372</v>
      </c>
      <c r="C2" s="89" t="s">
        <v>373</v>
      </c>
      <c r="D2" s="89" t="s">
        <v>374</v>
      </c>
      <c r="F2" s="90">
        <v>1108113999</v>
      </c>
      <c r="G2" s="91" t="str">
        <f>VLOOKUP("*"&amp;$F2&amp;"*",$A$1:$D$18,MATCH(G$1,$A$1:$D$1,0),0)</f>
        <v>Aircel</v>
      </c>
      <c r="H2" s="91" t="str">
        <f t="shared" ref="H2:I17" si="0">VLOOKUP("*"&amp;$F2&amp;"*",$A$1:$D$18,MATCH(H$1,$A$1:$D$1,0),0)</f>
        <v>Assam</v>
      </c>
      <c r="I2" s="91" t="str">
        <f t="shared" si="0"/>
        <v>Guwahati</v>
      </c>
      <c r="J2" s="43"/>
      <c r="K2" s="43"/>
      <c r="L2" s="43"/>
    </row>
    <row r="3" spans="1:12" ht="13.5" thickBot="1">
      <c r="A3" s="86" t="s">
        <v>375</v>
      </c>
      <c r="B3" s="86" t="s">
        <v>372</v>
      </c>
      <c r="C3" s="86" t="s">
        <v>376</v>
      </c>
      <c r="D3" s="86" t="s">
        <v>377</v>
      </c>
      <c r="F3" s="92">
        <v>1108361601</v>
      </c>
      <c r="G3" s="91" t="str">
        <f t="shared" ref="G3:I23" si="1">VLOOKUP("*"&amp;$F3&amp;"*",$A$1:$D$18,MATCH(G$1,$A$1:$D$1,0),0)</f>
        <v>Aircel</v>
      </c>
      <c r="H3" s="91" t="str">
        <f t="shared" si="0"/>
        <v>Orissa</v>
      </c>
      <c r="I3" s="91" t="str">
        <f t="shared" si="0"/>
        <v>Bhubneshwar</v>
      </c>
      <c r="J3" s="43"/>
      <c r="K3" s="43"/>
      <c r="L3" s="43"/>
    </row>
    <row r="4" spans="1:12" ht="13.5" thickBot="1">
      <c r="A4" s="93" t="s">
        <v>378</v>
      </c>
      <c r="B4" s="93" t="s">
        <v>379</v>
      </c>
      <c r="C4" s="93" t="s">
        <v>380</v>
      </c>
      <c r="D4" s="93" t="s">
        <v>381</v>
      </c>
      <c r="F4" s="94">
        <v>1108227601</v>
      </c>
      <c r="G4" s="91" t="str">
        <f t="shared" si="1"/>
        <v>Reliance</v>
      </c>
      <c r="H4" s="91" t="str">
        <f t="shared" si="0"/>
        <v>AP</v>
      </c>
      <c r="I4" s="91" t="str">
        <f t="shared" si="0"/>
        <v>Hyderabad</v>
      </c>
      <c r="J4" s="43"/>
      <c r="K4" s="43"/>
      <c r="L4" s="43"/>
    </row>
    <row r="5" spans="1:12" ht="13.5" thickBot="1">
      <c r="A5" s="86" t="s">
        <v>382</v>
      </c>
      <c r="B5" s="86" t="s">
        <v>379</v>
      </c>
      <c r="C5" s="86" t="s">
        <v>380</v>
      </c>
      <c r="D5" s="86" t="s">
        <v>381</v>
      </c>
      <c r="F5" s="92">
        <v>1108465261</v>
      </c>
      <c r="G5" s="91" t="str">
        <f t="shared" si="1"/>
        <v>Reliance</v>
      </c>
      <c r="H5" s="91" t="str">
        <f t="shared" si="0"/>
        <v>AP</v>
      </c>
      <c r="I5" s="91" t="str">
        <f t="shared" si="0"/>
        <v>Hyderabad</v>
      </c>
      <c r="J5" s="43"/>
      <c r="K5" s="43"/>
      <c r="L5" s="43"/>
    </row>
    <row r="6" spans="1:12" ht="13.5" thickBot="1">
      <c r="A6" s="93" t="s">
        <v>383</v>
      </c>
      <c r="B6" s="93" t="s">
        <v>379</v>
      </c>
      <c r="C6" s="93" t="s">
        <v>384</v>
      </c>
      <c r="D6" s="93" t="s">
        <v>385</v>
      </c>
      <c r="F6" s="94">
        <v>1107389435</v>
      </c>
      <c r="G6" s="91" t="str">
        <f t="shared" si="1"/>
        <v>Reliance</v>
      </c>
      <c r="H6" s="91" t="str">
        <f t="shared" si="0"/>
        <v>Karantaka</v>
      </c>
      <c r="I6" s="91" t="str">
        <f t="shared" si="0"/>
        <v>Banglore</v>
      </c>
      <c r="J6" s="43"/>
      <c r="K6" s="43"/>
      <c r="L6" s="43"/>
    </row>
    <row r="7" spans="1:12" ht="13.5" thickBot="1">
      <c r="A7" s="86" t="s">
        <v>386</v>
      </c>
      <c r="B7" s="86" t="s">
        <v>379</v>
      </c>
      <c r="C7" s="86" t="s">
        <v>384</v>
      </c>
      <c r="D7" s="86" t="s">
        <v>385</v>
      </c>
      <c r="F7" s="92">
        <v>1108403665</v>
      </c>
      <c r="G7" s="91" t="str">
        <f t="shared" si="1"/>
        <v>Reliance</v>
      </c>
      <c r="H7" s="91" t="str">
        <f t="shared" si="0"/>
        <v>Karantaka</v>
      </c>
      <c r="I7" s="91" t="str">
        <f t="shared" si="0"/>
        <v>Banglore</v>
      </c>
      <c r="J7" s="43"/>
      <c r="K7" s="43"/>
      <c r="L7" s="43"/>
    </row>
    <row r="8" spans="1:12" ht="13.5" thickBot="1">
      <c r="A8" s="93" t="s">
        <v>387</v>
      </c>
      <c r="B8" s="93" t="s">
        <v>388</v>
      </c>
      <c r="C8" s="93" t="s">
        <v>389</v>
      </c>
      <c r="D8" s="93" t="s">
        <v>390</v>
      </c>
      <c r="F8" s="94">
        <v>1107401031</v>
      </c>
      <c r="G8" s="91" t="str">
        <f t="shared" si="1"/>
        <v>Orrja</v>
      </c>
      <c r="H8" s="91" t="str">
        <f t="shared" si="0"/>
        <v>UPWest</v>
      </c>
      <c r="I8" s="91" t="str">
        <f t="shared" si="0"/>
        <v>Merrut</v>
      </c>
      <c r="J8" s="43"/>
      <c r="K8" s="43"/>
      <c r="L8" s="43"/>
    </row>
    <row r="9" spans="1:12" ht="13.5" thickBot="1">
      <c r="A9" s="86" t="s">
        <v>391</v>
      </c>
      <c r="B9" s="86" t="s">
        <v>392</v>
      </c>
      <c r="C9" s="86" t="s">
        <v>393</v>
      </c>
      <c r="D9" s="86" t="s">
        <v>394</v>
      </c>
      <c r="F9" s="92">
        <v>1108113875</v>
      </c>
      <c r="G9" s="91" t="str">
        <f t="shared" si="1"/>
        <v>Tata</v>
      </c>
      <c r="H9" s="91" t="str">
        <f t="shared" si="0"/>
        <v>West Bengal</v>
      </c>
      <c r="I9" s="91" t="str">
        <f t="shared" si="0"/>
        <v>Kolkata</v>
      </c>
      <c r="J9" s="43"/>
      <c r="K9" s="43"/>
      <c r="L9" s="43"/>
    </row>
    <row r="10" spans="1:12" ht="13.5" thickBot="1">
      <c r="A10" s="93" t="s">
        <v>395</v>
      </c>
      <c r="B10" s="93" t="s">
        <v>396</v>
      </c>
      <c r="C10" s="93" t="s">
        <v>397</v>
      </c>
      <c r="D10" s="93" t="s">
        <v>398</v>
      </c>
      <c r="F10" s="94">
        <v>1107304396</v>
      </c>
      <c r="G10" s="91" t="str">
        <f t="shared" si="1"/>
        <v>Vodafone</v>
      </c>
      <c r="H10" s="91" t="str">
        <f t="shared" si="0"/>
        <v>Bihar</v>
      </c>
      <c r="I10" s="91" t="str">
        <f t="shared" si="0"/>
        <v>bihar</v>
      </c>
      <c r="J10" s="43"/>
      <c r="K10" s="43"/>
      <c r="L10" s="43"/>
    </row>
    <row r="11" spans="1:12" ht="13.5" thickBot="1">
      <c r="A11" s="86" t="s">
        <v>399</v>
      </c>
      <c r="B11" s="86" t="s">
        <v>396</v>
      </c>
      <c r="C11" s="86" t="s">
        <v>376</v>
      </c>
      <c r="D11" s="86" t="s">
        <v>377</v>
      </c>
      <c r="F11" s="92">
        <v>1107400975</v>
      </c>
      <c r="G11" s="91" t="str">
        <f t="shared" si="1"/>
        <v>Vodafone</v>
      </c>
      <c r="H11" s="91" t="str">
        <f t="shared" si="0"/>
        <v>Orissa</v>
      </c>
      <c r="I11" s="91" t="str">
        <f t="shared" si="0"/>
        <v>Bhubneshwar</v>
      </c>
      <c r="J11" s="43"/>
      <c r="K11" s="43"/>
      <c r="L11" s="43"/>
    </row>
    <row r="12" spans="1:12" ht="13.5" thickBot="1">
      <c r="A12" s="93" t="s">
        <v>400</v>
      </c>
      <c r="B12" s="93" t="s">
        <v>396</v>
      </c>
      <c r="C12" s="93" t="s">
        <v>393</v>
      </c>
      <c r="D12" s="93" t="s">
        <v>401</v>
      </c>
      <c r="F12" s="94" t="s">
        <v>402</v>
      </c>
      <c r="G12" s="91" t="str">
        <f t="shared" si="1"/>
        <v>Vodafone</v>
      </c>
      <c r="H12" s="91" t="str">
        <f t="shared" si="0"/>
        <v>West Bengal</v>
      </c>
      <c r="I12" s="91" t="str">
        <f t="shared" si="0"/>
        <v>Asansol</v>
      </c>
      <c r="J12" s="43"/>
      <c r="K12" s="43"/>
      <c r="L12" s="43"/>
    </row>
    <row r="13" spans="1:12" ht="13.5" thickBot="1">
      <c r="A13" s="86" t="s">
        <v>403</v>
      </c>
      <c r="B13" s="86" t="s">
        <v>396</v>
      </c>
      <c r="C13" s="86" t="s">
        <v>393</v>
      </c>
      <c r="D13" s="86" t="s">
        <v>401</v>
      </c>
      <c r="F13" s="92" t="s">
        <v>404</v>
      </c>
      <c r="G13" s="91" t="str">
        <f t="shared" si="1"/>
        <v>Vodafone</v>
      </c>
      <c r="H13" s="91" t="str">
        <f t="shared" si="0"/>
        <v>West Bengal</v>
      </c>
      <c r="I13" s="91" t="str">
        <f t="shared" si="0"/>
        <v>Asansol</v>
      </c>
      <c r="J13" s="43"/>
      <c r="K13" s="43"/>
      <c r="L13" s="43"/>
    </row>
    <row r="14" spans="1:12" ht="13.5" thickBot="1">
      <c r="A14" s="93" t="s">
        <v>405</v>
      </c>
      <c r="B14" s="93" t="s">
        <v>406</v>
      </c>
      <c r="C14" s="93" t="s">
        <v>407</v>
      </c>
      <c r="D14" s="93" t="s">
        <v>408</v>
      </c>
      <c r="F14" s="94">
        <v>1108289348</v>
      </c>
      <c r="G14" s="91" t="str">
        <f t="shared" si="1"/>
        <v>Idea</v>
      </c>
      <c r="H14" s="91" t="str">
        <f t="shared" si="0"/>
        <v>Delhi</v>
      </c>
      <c r="I14" s="91" t="str">
        <f t="shared" si="0"/>
        <v>Vikas Puri</v>
      </c>
      <c r="J14" s="43"/>
      <c r="K14" s="43"/>
      <c r="L14" s="43"/>
    </row>
    <row r="15" spans="1:12" ht="13.5" thickBot="1">
      <c r="A15" s="86" t="s">
        <v>409</v>
      </c>
      <c r="B15" s="86" t="s">
        <v>406</v>
      </c>
      <c r="C15" s="86" t="s">
        <v>407</v>
      </c>
      <c r="D15" s="86" t="s">
        <v>408</v>
      </c>
      <c r="F15" s="92" t="s">
        <v>410</v>
      </c>
      <c r="G15" s="91" t="str">
        <f t="shared" si="1"/>
        <v>Airtel</v>
      </c>
      <c r="H15" s="91" t="str">
        <f t="shared" si="0"/>
        <v>UP-East</v>
      </c>
      <c r="I15" s="91" t="str">
        <f t="shared" si="0"/>
        <v>Merrut</v>
      </c>
      <c r="J15" s="43"/>
      <c r="K15" s="43"/>
      <c r="L15" s="43"/>
    </row>
    <row r="16" spans="1:12" ht="13.5" thickBot="1">
      <c r="A16" s="93" t="s">
        <v>411</v>
      </c>
      <c r="B16" s="93" t="s">
        <v>412</v>
      </c>
      <c r="C16" s="93" t="s">
        <v>413</v>
      </c>
      <c r="D16" s="93" t="s">
        <v>390</v>
      </c>
      <c r="F16" s="94">
        <v>1108113940</v>
      </c>
      <c r="G16" s="91" t="str">
        <f t="shared" si="1"/>
        <v>Airtel</v>
      </c>
      <c r="H16" s="91" t="str">
        <f t="shared" si="0"/>
        <v>UP-West</v>
      </c>
      <c r="I16" s="91" t="str">
        <f t="shared" si="0"/>
        <v>Lucknow</v>
      </c>
      <c r="J16" s="43"/>
      <c r="K16" s="43"/>
      <c r="L16" s="43"/>
    </row>
    <row r="17" spans="1:12" ht="13.5" thickBot="1">
      <c r="A17" s="86" t="s">
        <v>414</v>
      </c>
      <c r="B17" s="86" t="s">
        <v>412</v>
      </c>
      <c r="C17" s="86" t="s">
        <v>415</v>
      </c>
      <c r="D17" s="86" t="s">
        <v>416</v>
      </c>
      <c r="F17" s="92">
        <v>1106489974</v>
      </c>
      <c r="G17" s="91" t="str">
        <f t="shared" si="1"/>
        <v>Airtel</v>
      </c>
      <c r="H17" s="91" t="str">
        <f t="shared" si="0"/>
        <v>Bihar</v>
      </c>
      <c r="I17" s="91" t="str">
        <f t="shared" si="0"/>
        <v>Patna</v>
      </c>
      <c r="J17" s="43"/>
      <c r="K17" s="43"/>
      <c r="L17" s="43"/>
    </row>
    <row r="18" spans="1:12" ht="13.5" thickBot="1">
      <c r="A18" s="95" t="s">
        <v>417</v>
      </c>
      <c r="B18" s="95" t="s">
        <v>412</v>
      </c>
      <c r="C18" s="95" t="s">
        <v>397</v>
      </c>
      <c r="D18" s="95" t="s">
        <v>418</v>
      </c>
      <c r="F18" s="94" t="s">
        <v>419</v>
      </c>
      <c r="G18" s="91" t="str">
        <f t="shared" si="1"/>
        <v>Aircel</v>
      </c>
      <c r="H18" s="91" t="str">
        <f t="shared" si="1"/>
        <v>Assam</v>
      </c>
      <c r="I18" s="91" t="str">
        <f t="shared" si="1"/>
        <v>Guwahati</v>
      </c>
      <c r="J18" s="43"/>
      <c r="K18" s="43"/>
      <c r="L18" s="43"/>
    </row>
    <row r="19" spans="1:12" ht="13.5" thickBot="1">
      <c r="F19" s="92" t="s">
        <v>420</v>
      </c>
      <c r="G19" s="91" t="str">
        <f t="shared" si="1"/>
        <v>Aircel</v>
      </c>
      <c r="H19" s="91" t="str">
        <f t="shared" si="1"/>
        <v>Orissa</v>
      </c>
      <c r="I19" s="91" t="str">
        <f t="shared" si="1"/>
        <v>Bhubneshwar</v>
      </c>
      <c r="J19" s="43"/>
      <c r="K19" s="43"/>
      <c r="L19" s="43"/>
    </row>
    <row r="20" spans="1:12" ht="13.5" thickBot="1">
      <c r="F20" s="94">
        <v>1108039774</v>
      </c>
      <c r="G20" s="91" t="str">
        <f t="shared" si="1"/>
        <v>Reliance</v>
      </c>
      <c r="H20" s="91" t="str">
        <f t="shared" si="1"/>
        <v>AP</v>
      </c>
      <c r="I20" s="91" t="str">
        <f t="shared" si="1"/>
        <v>Hyderabad</v>
      </c>
      <c r="J20" s="43"/>
      <c r="K20" s="43"/>
      <c r="L20" s="43"/>
    </row>
    <row r="21" spans="1:12" ht="13.5" thickBot="1">
      <c r="C21" s="43"/>
      <c r="F21" s="92" t="s">
        <v>421</v>
      </c>
      <c r="G21" s="91" t="str">
        <f t="shared" si="1"/>
        <v>Reliance</v>
      </c>
      <c r="H21" s="91" t="str">
        <f t="shared" si="1"/>
        <v>AP</v>
      </c>
      <c r="I21" s="91" t="str">
        <f t="shared" si="1"/>
        <v>Hyderabad</v>
      </c>
      <c r="J21" s="43"/>
      <c r="K21" s="43"/>
      <c r="L21" s="43"/>
    </row>
    <row r="22" spans="1:12" ht="13.5" thickBot="1">
      <c r="F22" s="94" t="s">
        <v>422</v>
      </c>
      <c r="G22" s="91" t="str">
        <f>VLOOKUP("*"&amp;$F22&amp;"*",$A$1:$D$18,MATCH(G$1,$A$1:$D$1,0),0)</f>
        <v>Reliance</v>
      </c>
      <c r="H22" s="91" t="str">
        <f t="shared" ref="H22:I37" si="2">VLOOKUP("*"&amp;$F22&amp;"*",$A$1:$D$18,MATCH(H$1,$A$1:$D$1,0),0)</f>
        <v>Karantaka</v>
      </c>
      <c r="I22" s="91" t="str">
        <f t="shared" si="2"/>
        <v>Banglore</v>
      </c>
      <c r="J22" s="43"/>
      <c r="K22" s="43"/>
      <c r="L22" s="43"/>
    </row>
    <row r="23" spans="1:12" ht="13.5" thickBot="1">
      <c r="F23" s="92" t="s">
        <v>423</v>
      </c>
      <c r="G23" s="91" t="str">
        <f t="shared" si="1"/>
        <v>Reliance</v>
      </c>
      <c r="H23" s="91" t="str">
        <f t="shared" si="2"/>
        <v>Karantaka</v>
      </c>
      <c r="I23" s="91" t="str">
        <f t="shared" si="2"/>
        <v>Banglore</v>
      </c>
      <c r="J23" s="43"/>
      <c r="K23" s="43"/>
      <c r="L23" s="43"/>
    </row>
    <row r="24" spans="1:12" ht="13.5" thickBot="1">
      <c r="F24" s="94" t="s">
        <v>424</v>
      </c>
      <c r="G24" s="91" t="str">
        <f t="shared" ref="G24:I37" si="3">VLOOKUP("*"&amp;$F24&amp;"*",$A$1:$D$18,MATCH(G$1,$A$1:$D$1,0),0)</f>
        <v>Orrja</v>
      </c>
      <c r="H24" s="91" t="str">
        <f t="shared" si="2"/>
        <v>UPWest</v>
      </c>
      <c r="I24" s="91" t="str">
        <f t="shared" si="2"/>
        <v>Merrut</v>
      </c>
      <c r="J24" s="43"/>
      <c r="K24" s="43"/>
      <c r="L24" s="43"/>
    </row>
    <row r="25" spans="1:12" ht="13.5" thickBot="1">
      <c r="F25" s="92" t="s">
        <v>425</v>
      </c>
      <c r="G25" s="91" t="str">
        <f t="shared" si="3"/>
        <v>Tata</v>
      </c>
      <c r="H25" s="91" t="str">
        <f t="shared" si="2"/>
        <v>West Bengal</v>
      </c>
      <c r="I25" s="91" t="str">
        <f t="shared" si="2"/>
        <v>Kolkata</v>
      </c>
      <c r="J25" s="43"/>
      <c r="K25" s="43"/>
      <c r="L25" s="43"/>
    </row>
    <row r="26" spans="1:12" ht="13.5" thickBot="1">
      <c r="F26" s="94" t="s">
        <v>426</v>
      </c>
      <c r="G26" s="91" t="str">
        <f t="shared" si="3"/>
        <v>Vodafone</v>
      </c>
      <c r="H26" s="91" t="str">
        <f t="shared" si="2"/>
        <v>Bihar</v>
      </c>
      <c r="I26" s="91" t="str">
        <f t="shared" si="2"/>
        <v>bihar</v>
      </c>
      <c r="J26" s="43"/>
      <c r="K26" s="43"/>
      <c r="L26" s="43"/>
    </row>
    <row r="27" spans="1:12" ht="13.5" thickBot="1">
      <c r="F27" s="92" t="s">
        <v>427</v>
      </c>
      <c r="G27" s="91" t="str">
        <f t="shared" si="3"/>
        <v>Vodafone</v>
      </c>
      <c r="H27" s="91" t="str">
        <f t="shared" si="2"/>
        <v>Orissa</v>
      </c>
      <c r="I27" s="91" t="str">
        <f t="shared" si="2"/>
        <v>Bhubneshwar</v>
      </c>
      <c r="J27" s="43"/>
      <c r="K27" s="43"/>
      <c r="L27" s="43"/>
    </row>
    <row r="28" spans="1:12" ht="13.5" thickBot="1">
      <c r="F28" s="94" t="s">
        <v>428</v>
      </c>
      <c r="G28" s="91" t="str">
        <f t="shared" si="3"/>
        <v>Idea</v>
      </c>
      <c r="H28" s="91" t="str">
        <f t="shared" si="2"/>
        <v>Delhi</v>
      </c>
      <c r="I28" s="91" t="str">
        <f t="shared" si="2"/>
        <v>Vikas Puri</v>
      </c>
      <c r="J28" s="43"/>
      <c r="K28" s="43"/>
      <c r="L28" s="43"/>
    </row>
    <row r="29" spans="1:12" ht="13.5" thickBot="1">
      <c r="F29" s="92" t="s">
        <v>429</v>
      </c>
      <c r="G29" s="91" t="str">
        <f t="shared" si="3"/>
        <v>Idea</v>
      </c>
      <c r="H29" s="91" t="str">
        <f t="shared" si="2"/>
        <v>Delhi</v>
      </c>
      <c r="I29" s="91" t="str">
        <f t="shared" si="2"/>
        <v>Vikas Puri</v>
      </c>
      <c r="J29" s="43"/>
      <c r="K29" s="43"/>
      <c r="L29" s="43"/>
    </row>
    <row r="30" spans="1:12" ht="13.5" thickBot="1">
      <c r="F30" s="94" t="s">
        <v>430</v>
      </c>
      <c r="G30" s="91" t="str">
        <f t="shared" si="3"/>
        <v>Airtel</v>
      </c>
      <c r="H30" s="91" t="str">
        <f t="shared" si="2"/>
        <v>UP-West</v>
      </c>
      <c r="I30" s="91" t="str">
        <f t="shared" si="2"/>
        <v>Lucknow</v>
      </c>
      <c r="J30" s="43"/>
      <c r="K30" s="43"/>
      <c r="L30" s="43"/>
    </row>
    <row r="31" spans="1:12" ht="13.5" thickBot="1">
      <c r="F31" s="92" t="s">
        <v>431</v>
      </c>
      <c r="G31" s="91" t="str">
        <f t="shared" si="3"/>
        <v>Airtel</v>
      </c>
      <c r="H31" s="91" t="str">
        <f t="shared" si="2"/>
        <v>Bihar</v>
      </c>
      <c r="I31" s="91" t="str">
        <f t="shared" si="2"/>
        <v>Patna</v>
      </c>
      <c r="J31" s="43"/>
      <c r="K31" s="43"/>
      <c r="L31" s="43"/>
    </row>
    <row r="32" spans="1:12" ht="13.5" thickBot="1">
      <c r="F32" s="94" t="s">
        <v>432</v>
      </c>
      <c r="G32" s="91" t="str">
        <f t="shared" si="3"/>
        <v>Reliance</v>
      </c>
      <c r="H32" s="91" t="str">
        <f t="shared" si="2"/>
        <v>AP</v>
      </c>
      <c r="I32" s="91" t="str">
        <f t="shared" si="2"/>
        <v>Hyderabad</v>
      </c>
      <c r="J32" s="43"/>
      <c r="K32" s="43"/>
      <c r="L32" s="43"/>
    </row>
    <row r="33" spans="6:12" ht="13.5" thickBot="1">
      <c r="F33" s="92" t="s">
        <v>433</v>
      </c>
      <c r="G33" s="91" t="str">
        <f t="shared" si="3"/>
        <v>Vodafone</v>
      </c>
      <c r="H33" s="91" t="str">
        <f t="shared" si="2"/>
        <v>West Bengal</v>
      </c>
      <c r="I33" s="91" t="str">
        <f t="shared" si="2"/>
        <v>Asansol</v>
      </c>
      <c r="J33" s="43"/>
      <c r="K33" s="43"/>
      <c r="L33" s="43"/>
    </row>
    <row r="34" spans="6:12" ht="13.5" thickBot="1">
      <c r="F34" s="94" t="s">
        <v>434</v>
      </c>
      <c r="G34" s="91" t="str">
        <f t="shared" si="3"/>
        <v>Vodafone</v>
      </c>
      <c r="H34" s="91" t="str">
        <f t="shared" si="2"/>
        <v>West Bengal</v>
      </c>
      <c r="I34" s="91" t="str">
        <f t="shared" si="2"/>
        <v>Asansol</v>
      </c>
      <c r="J34" s="43"/>
      <c r="K34" s="43"/>
      <c r="L34" s="43"/>
    </row>
    <row r="35" spans="6:12" ht="13.5" thickBot="1">
      <c r="F35" s="92" t="s">
        <v>435</v>
      </c>
      <c r="G35" s="91" t="str">
        <f t="shared" si="3"/>
        <v>Airtel</v>
      </c>
      <c r="H35" s="91" t="str">
        <f t="shared" si="2"/>
        <v>UP-East</v>
      </c>
      <c r="I35" s="91" t="str">
        <f t="shared" si="2"/>
        <v>Merrut</v>
      </c>
      <c r="J35" s="43"/>
      <c r="K35" s="43"/>
      <c r="L35" s="43"/>
    </row>
    <row r="36" spans="6:12" ht="13.5" thickBot="1">
      <c r="F36" s="94">
        <v>1108114052</v>
      </c>
      <c r="G36" s="91" t="str">
        <f t="shared" si="3"/>
        <v>Vodafone</v>
      </c>
      <c r="H36" s="91" t="str">
        <f t="shared" si="2"/>
        <v>West Bengal</v>
      </c>
      <c r="I36" s="91" t="str">
        <f t="shared" si="2"/>
        <v>Asansol</v>
      </c>
      <c r="J36" s="43"/>
      <c r="K36" s="43"/>
      <c r="L36" s="43"/>
    </row>
    <row r="37" spans="6:12" ht="13.5" thickBot="1">
      <c r="F37" s="96">
        <v>1107209977</v>
      </c>
      <c r="G37" s="91" t="str">
        <f t="shared" si="3"/>
        <v>Vodafone</v>
      </c>
      <c r="H37" s="91" t="str">
        <f t="shared" si="2"/>
        <v>West Bengal</v>
      </c>
      <c r="I37" s="91" t="str">
        <f t="shared" si="2"/>
        <v>Asansol</v>
      </c>
      <c r="J37" s="43"/>
      <c r="K37" s="43"/>
      <c r="L37" s="43"/>
    </row>
    <row r="38" spans="6:12">
      <c r="G38" s="97"/>
    </row>
    <row r="39" spans="6:12">
      <c r="G39" s="97"/>
    </row>
    <row r="40" spans="6:12">
      <c r="G40" s="97"/>
    </row>
    <row r="41" spans="6:12">
      <c r="G41" s="97"/>
    </row>
    <row r="42" spans="6:12">
      <c r="G42" s="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8"/>
  <sheetViews>
    <sheetView showGridLines="0" workbookViewId="0">
      <selection activeCell="E3" sqref="E3:E5"/>
    </sheetView>
  </sheetViews>
  <sheetFormatPr defaultColWidth="5.81640625" defaultRowHeight="12.75"/>
  <cols>
    <col min="1" max="1" width="1.453125" style="57" customWidth="1"/>
    <col min="2" max="2" width="17.6328125" style="97" customWidth="1"/>
    <col min="3" max="3" width="7.54296875" style="57" bestFit="1" customWidth="1"/>
    <col min="4" max="4" width="5.81640625" style="57"/>
    <col min="5" max="5" width="18.7265625" style="57" customWidth="1"/>
    <col min="6" max="6" width="15.6328125" style="57" bestFit="1" customWidth="1"/>
    <col min="7" max="7" width="17.1796875" style="57" bestFit="1" customWidth="1"/>
    <col min="8" max="8" width="8.6328125" style="57" bestFit="1" customWidth="1"/>
    <col min="9" max="9" width="5.7265625" style="57" customWidth="1"/>
    <col min="10" max="16384" width="5.81640625" style="57"/>
  </cols>
  <sheetData>
    <row r="1" spans="2:7" ht="8.25" customHeight="1" thickBot="1"/>
    <row r="2" spans="2:7" ht="13.5" thickBot="1">
      <c r="B2" s="99" t="s">
        <v>265</v>
      </c>
      <c r="C2" s="100" t="s">
        <v>2</v>
      </c>
      <c r="E2" s="101" t="s">
        <v>436</v>
      </c>
      <c r="G2" s="102"/>
    </row>
    <row r="3" spans="2:7">
      <c r="B3" s="91" t="s">
        <v>437</v>
      </c>
      <c r="C3" s="103">
        <v>25786</v>
      </c>
      <c r="E3" s="104" t="str">
        <f>VLOOKUP(LARGE(C3:$C$58,ROW(A1)),CHOOSE({1,2},$C$3:$C$58,$B$3:$B$58),2,0)</f>
        <v>Shivam Kumar Gupta</v>
      </c>
    </row>
    <row r="4" spans="2:7">
      <c r="B4" s="97" t="s">
        <v>438</v>
      </c>
      <c r="C4" s="51">
        <v>71308</v>
      </c>
      <c r="E4" s="104" t="str">
        <f>VLOOKUP(LARGE(C4:$C$58,ROW(A2)),CHOOSE({1,2},$C$3:$C$58,$B$3:$B$58),2,0)</f>
        <v>Pawan Kr Saini</v>
      </c>
    </row>
    <row r="5" spans="2:7">
      <c r="B5" s="105" t="s">
        <v>439</v>
      </c>
      <c r="C5" s="106">
        <v>59369</v>
      </c>
      <c r="E5" s="104" t="str">
        <f>VLOOKUP(LARGE(C5:$C$58,ROW(A3)),CHOOSE({1,2},$C$3:$C$58,$B$3:$B$58),2,0)</f>
        <v>Sunil Dutt</v>
      </c>
    </row>
    <row r="6" spans="2:7">
      <c r="B6" s="97" t="s">
        <v>440</v>
      </c>
      <c r="C6" s="51">
        <v>72391</v>
      </c>
    </row>
    <row r="7" spans="2:7">
      <c r="B7" s="105" t="s">
        <v>441</v>
      </c>
      <c r="C7" s="106">
        <v>55669</v>
      </c>
    </row>
    <row r="8" spans="2:7">
      <c r="B8" s="97" t="s">
        <v>442</v>
      </c>
      <c r="C8" s="51">
        <v>29210</v>
      </c>
      <c r="E8" s="57">
        <f>LARGE(B3:C58,3)</f>
        <v>84365</v>
      </c>
    </row>
    <row r="9" spans="2:7">
      <c r="B9" s="105" t="s">
        <v>443</v>
      </c>
      <c r="C9" s="106">
        <v>76420</v>
      </c>
      <c r="E9" s="57">
        <f t="shared" ref="E9:E10" si="0">LARGE(B4:C59,3)</f>
        <v>84365</v>
      </c>
      <c r="F9" s="57">
        <f>LARGE(C3:$C$58,{1})</f>
        <v>89151</v>
      </c>
    </row>
    <row r="10" spans="2:7">
      <c r="B10" s="97" t="s">
        <v>444</v>
      </c>
      <c r="C10" s="51">
        <v>26844</v>
      </c>
      <c r="E10" s="57">
        <f t="shared" si="0"/>
        <v>84365</v>
      </c>
      <c r="F10" s="57">
        <f>LARGE(C4:$C$58,ROW(A2))</f>
        <v>87365</v>
      </c>
    </row>
    <row r="11" spans="2:7">
      <c r="B11" s="105" t="s">
        <v>445</v>
      </c>
      <c r="C11" s="106">
        <v>26525</v>
      </c>
      <c r="E11" s="57">
        <f>LARGE(B6:C61,{1,2,3})</f>
        <v>89151</v>
      </c>
      <c r="F11" s="57">
        <f>LARGE(C5:$C$58,ROW(A3))</f>
        <v>84365</v>
      </c>
    </row>
    <row r="12" spans="2:7">
      <c r="B12" s="97" t="s">
        <v>446</v>
      </c>
      <c r="C12" s="51">
        <v>28810</v>
      </c>
      <c r="E12" s="57">
        <f>LARGE(B7:C62,{1,2,3})</f>
        <v>89151</v>
      </c>
    </row>
    <row r="13" spans="2:7">
      <c r="B13" s="105" t="s">
        <v>447</v>
      </c>
      <c r="C13" s="106">
        <v>79089</v>
      </c>
    </row>
    <row r="14" spans="2:7">
      <c r="B14" s="97" t="s">
        <v>448</v>
      </c>
      <c r="C14" s="51">
        <v>40821</v>
      </c>
    </row>
    <row r="15" spans="2:7">
      <c r="B15" s="105" t="s">
        <v>449</v>
      </c>
      <c r="C15" s="106">
        <v>89151</v>
      </c>
    </row>
    <row r="16" spans="2:7">
      <c r="B16" s="97" t="s">
        <v>450</v>
      </c>
      <c r="C16" s="51">
        <v>60580</v>
      </c>
    </row>
    <row r="17" spans="2:3">
      <c r="B17" s="105" t="s">
        <v>451</v>
      </c>
      <c r="C17" s="106">
        <v>40332</v>
      </c>
    </row>
    <row r="18" spans="2:3">
      <c r="B18" s="97" t="s">
        <v>452</v>
      </c>
      <c r="C18" s="51">
        <v>27079</v>
      </c>
    </row>
    <row r="19" spans="2:3">
      <c r="B19" s="105" t="s">
        <v>453</v>
      </c>
      <c r="C19" s="106">
        <v>33808</v>
      </c>
    </row>
    <row r="20" spans="2:3">
      <c r="B20" s="97" t="s">
        <v>454</v>
      </c>
      <c r="C20" s="51">
        <v>73224</v>
      </c>
    </row>
    <row r="21" spans="2:3">
      <c r="B21" s="105" t="s">
        <v>455</v>
      </c>
      <c r="C21" s="106">
        <v>32742</v>
      </c>
    </row>
    <row r="22" spans="2:3">
      <c r="B22" s="97" t="s">
        <v>456</v>
      </c>
      <c r="C22" s="51">
        <v>41764</v>
      </c>
    </row>
    <row r="23" spans="2:3">
      <c r="B23" s="105" t="s">
        <v>457</v>
      </c>
      <c r="C23" s="106">
        <v>44035</v>
      </c>
    </row>
    <row r="24" spans="2:3">
      <c r="B24" s="97" t="s">
        <v>458</v>
      </c>
      <c r="C24" s="51">
        <v>55182</v>
      </c>
    </row>
    <row r="25" spans="2:3">
      <c r="B25" s="105" t="s">
        <v>459</v>
      </c>
      <c r="C25" s="106">
        <v>39978</v>
      </c>
    </row>
    <row r="26" spans="2:3">
      <c r="B26" s="97" t="s">
        <v>460</v>
      </c>
      <c r="C26" s="51">
        <v>22704</v>
      </c>
    </row>
    <row r="27" spans="2:3">
      <c r="B27" s="105" t="s">
        <v>461</v>
      </c>
      <c r="C27" s="106">
        <v>51861</v>
      </c>
    </row>
    <row r="28" spans="2:3">
      <c r="B28" s="97" t="s">
        <v>462</v>
      </c>
      <c r="C28" s="51">
        <v>48694</v>
      </c>
    </row>
    <row r="29" spans="2:3">
      <c r="B29" s="105" t="s">
        <v>463</v>
      </c>
      <c r="C29" s="106">
        <v>37852</v>
      </c>
    </row>
    <row r="30" spans="2:3">
      <c r="B30" s="97" t="s">
        <v>464</v>
      </c>
      <c r="C30" s="51">
        <v>70722</v>
      </c>
    </row>
    <row r="31" spans="2:3">
      <c r="B31" s="105" t="s">
        <v>465</v>
      </c>
      <c r="C31" s="106">
        <v>26222</v>
      </c>
    </row>
    <row r="32" spans="2:3">
      <c r="B32" s="97" t="s">
        <v>466</v>
      </c>
      <c r="C32" s="51">
        <v>44980</v>
      </c>
    </row>
    <row r="33" spans="2:3">
      <c r="B33" s="105" t="s">
        <v>467</v>
      </c>
      <c r="C33" s="106">
        <v>70538</v>
      </c>
    </row>
    <row r="34" spans="2:3">
      <c r="B34" s="97" t="s">
        <v>468</v>
      </c>
      <c r="C34" s="51">
        <v>61280</v>
      </c>
    </row>
    <row r="35" spans="2:3">
      <c r="B35" s="105" t="s">
        <v>469</v>
      </c>
      <c r="C35" s="106">
        <v>31301</v>
      </c>
    </row>
    <row r="36" spans="2:3">
      <c r="B36" s="97" t="s">
        <v>470</v>
      </c>
      <c r="C36" s="51">
        <v>23406</v>
      </c>
    </row>
    <row r="37" spans="2:3">
      <c r="B37" s="105" t="s">
        <v>471</v>
      </c>
      <c r="C37" s="106">
        <v>84234</v>
      </c>
    </row>
    <row r="38" spans="2:3">
      <c r="B38" s="97" t="s">
        <v>472</v>
      </c>
      <c r="C38" s="51">
        <v>72903</v>
      </c>
    </row>
    <row r="39" spans="2:3">
      <c r="B39" s="105" t="s">
        <v>473</v>
      </c>
      <c r="C39" s="106">
        <v>45103</v>
      </c>
    </row>
    <row r="40" spans="2:3">
      <c r="B40" s="97" t="s">
        <v>474</v>
      </c>
      <c r="C40" s="51">
        <v>72876</v>
      </c>
    </row>
    <row r="41" spans="2:3">
      <c r="B41" s="105" t="s">
        <v>475</v>
      </c>
      <c r="C41" s="106">
        <v>51813</v>
      </c>
    </row>
    <row r="42" spans="2:3">
      <c r="B42" s="97" t="s">
        <v>476</v>
      </c>
      <c r="C42" s="51">
        <v>87365</v>
      </c>
    </row>
    <row r="43" spans="2:3">
      <c r="B43" s="105" t="s">
        <v>477</v>
      </c>
      <c r="C43" s="106">
        <v>49520</v>
      </c>
    </row>
    <row r="44" spans="2:3">
      <c r="B44" s="97" t="s">
        <v>478</v>
      </c>
      <c r="C44" s="51">
        <v>66171</v>
      </c>
    </row>
    <row r="45" spans="2:3">
      <c r="B45" s="105" t="s">
        <v>479</v>
      </c>
      <c r="C45" s="106">
        <v>53363</v>
      </c>
    </row>
    <row r="46" spans="2:3">
      <c r="B46" s="97" t="s">
        <v>480</v>
      </c>
      <c r="C46" s="51">
        <v>84365</v>
      </c>
    </row>
    <row r="47" spans="2:3">
      <c r="B47" s="105" t="s">
        <v>481</v>
      </c>
      <c r="C47" s="106">
        <v>43642</v>
      </c>
    </row>
    <row r="48" spans="2:3">
      <c r="B48" s="97" t="s">
        <v>482</v>
      </c>
      <c r="C48" s="51">
        <v>62518</v>
      </c>
    </row>
    <row r="49" spans="2:3">
      <c r="B49" s="105" t="s">
        <v>483</v>
      </c>
      <c r="C49" s="106">
        <v>51399</v>
      </c>
    </row>
    <row r="50" spans="2:3">
      <c r="B50" s="97" t="s">
        <v>484</v>
      </c>
      <c r="C50" s="51">
        <v>35762</v>
      </c>
    </row>
    <row r="51" spans="2:3">
      <c r="B51" s="105" t="s">
        <v>485</v>
      </c>
      <c r="C51" s="106">
        <v>54040</v>
      </c>
    </row>
    <row r="52" spans="2:3">
      <c r="B52" s="97" t="s">
        <v>486</v>
      </c>
      <c r="C52" s="51">
        <v>23860</v>
      </c>
    </row>
    <row r="53" spans="2:3">
      <c r="B53" s="105" t="s">
        <v>487</v>
      </c>
      <c r="C53" s="106">
        <v>51455</v>
      </c>
    </row>
    <row r="54" spans="2:3">
      <c r="B54" s="97" t="s">
        <v>488</v>
      </c>
      <c r="C54" s="51">
        <v>74793</v>
      </c>
    </row>
    <row r="55" spans="2:3">
      <c r="B55" s="105" t="s">
        <v>489</v>
      </c>
      <c r="C55" s="106">
        <v>64719</v>
      </c>
    </row>
    <row r="56" spans="2:3">
      <c r="B56" s="97" t="s">
        <v>490</v>
      </c>
      <c r="C56" s="51">
        <v>31485</v>
      </c>
    </row>
    <row r="57" spans="2:3">
      <c r="B57" s="105" t="s">
        <v>491</v>
      </c>
      <c r="C57" s="106">
        <v>61190</v>
      </c>
    </row>
    <row r="58" spans="2:3" ht="13.5" thickBot="1">
      <c r="B58" s="107" t="s">
        <v>492</v>
      </c>
      <c r="C58" s="108">
        <v>42343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tabSelected="1" topLeftCell="A2" workbookViewId="0">
      <selection activeCell="K3" sqref="K3:K12"/>
    </sheetView>
  </sheetViews>
  <sheetFormatPr defaultColWidth="5.81640625" defaultRowHeight="12.75"/>
  <cols>
    <col min="1" max="1" width="0.81640625" style="109" customWidth="1"/>
    <col min="2" max="2" width="12.90625" style="109" bestFit="1" customWidth="1"/>
    <col min="3" max="3" width="10.26953125" style="109" customWidth="1"/>
    <col min="4" max="4" width="0.81640625" style="109" customWidth="1"/>
    <col min="5" max="5" width="10.26953125" style="109" customWidth="1"/>
    <col min="6" max="6" width="12.26953125" style="109" bestFit="1" customWidth="1"/>
    <col min="7" max="7" width="0.7265625" style="109" customWidth="1"/>
    <col min="8" max="8" width="13.1796875" style="109" customWidth="1"/>
    <col min="9" max="9" width="13.453125" style="109" customWidth="1"/>
    <col min="10" max="10" width="10.453125" style="109" customWidth="1"/>
    <col min="11" max="11" width="11.6328125" style="109" customWidth="1"/>
    <col min="12" max="16384" width="5.81640625" style="109"/>
  </cols>
  <sheetData>
    <row r="2" spans="2:11">
      <c r="B2" s="110" t="s">
        <v>265</v>
      </c>
      <c r="C2" s="111" t="s">
        <v>493</v>
      </c>
      <c r="E2" s="112" t="s">
        <v>493</v>
      </c>
      <c r="F2" s="113" t="s">
        <v>494</v>
      </c>
      <c r="H2" s="114" t="s">
        <v>265</v>
      </c>
      <c r="I2" s="114" t="s">
        <v>494</v>
      </c>
      <c r="J2" s="114" t="s">
        <v>266</v>
      </c>
      <c r="K2" s="114" t="s">
        <v>495</v>
      </c>
    </row>
    <row r="3" spans="2:11">
      <c r="B3" s="115" t="s">
        <v>437</v>
      </c>
      <c r="C3" s="116" t="s">
        <v>496</v>
      </c>
      <c r="E3" s="117" t="s">
        <v>496</v>
      </c>
      <c r="F3" s="118" t="s">
        <v>497</v>
      </c>
      <c r="H3" s="119" t="s">
        <v>445</v>
      </c>
      <c r="I3" s="120" t="str">
        <f>VLOOKUP(VLOOKUP($H3,$B$2:$C$12,MATCH($C$2,$B$2:$C$2,0),0),$E$2:$F$12,MATCH(I$2,$E$2:$F$2,0),0)</f>
        <v>Sr. Executive</v>
      </c>
      <c r="J3" s="120" t="str">
        <f>VLOOKUP(VLOOKUP($H3,$B$2:$C$12,MATCH($C$2,$B$2:$C$2,0),0),$E$14:$F$24,MATCH($J$2,$E$14:$F$14,0),0)</f>
        <v>Sales</v>
      </c>
      <c r="K3" s="120" t="str">
        <f>VLOOKUP(VLOOKUP($H3,$B$2:$C$12,MATCH($C$2,$B$2:$C$2,0),0),$B$14:$C$24,MATCH($K$2,$B$14:$C$14,0),0)</f>
        <v>Gurgaon</v>
      </c>
    </row>
    <row r="4" spans="2:11">
      <c r="B4" s="121" t="s">
        <v>438</v>
      </c>
      <c r="C4" s="122" t="s">
        <v>498</v>
      </c>
      <c r="E4" s="123" t="s">
        <v>498</v>
      </c>
      <c r="F4" s="124" t="s">
        <v>499</v>
      </c>
      <c r="H4" s="119" t="s">
        <v>444</v>
      </c>
      <c r="I4" s="120" t="str">
        <f>VLOOKUP(VLOOKUP($H4,$B$2:$C$12,MATCH($C$2,$B$2:$C$2,0),0),$E$2:$F$12,MATCH($I$2,$E$2:$F$2,0),0)</f>
        <v>Asst. Manager</v>
      </c>
      <c r="J4" s="120" t="str">
        <f t="shared" ref="J4:J12" si="0">VLOOKUP(VLOOKUP($H4,$B$2:$C$12,MATCH($C$2,$B$2:$C$2,0),0),$E$14:$F$24,MATCH($J$2,$E$14:$F$14,0),0)</f>
        <v>Finance</v>
      </c>
      <c r="K4" s="120" t="str">
        <f t="shared" ref="K4:K12" si="1">VLOOKUP(VLOOKUP($H4,$B$2:$C$12,MATCH($C$2,$B$2:$C$2,0),0),$B$14:$C$24,MATCH($K$2,$B$14:$C$14,0),0)</f>
        <v>Noida</v>
      </c>
    </row>
    <row r="5" spans="2:11">
      <c r="B5" s="115" t="s">
        <v>439</v>
      </c>
      <c r="C5" s="116" t="s">
        <v>500</v>
      </c>
      <c r="E5" s="117" t="s">
        <v>500</v>
      </c>
      <c r="F5" s="118" t="s">
        <v>501</v>
      </c>
      <c r="H5" s="119" t="s">
        <v>437</v>
      </c>
      <c r="I5" s="120" t="str">
        <f t="shared" ref="I4:J12" si="2">VLOOKUP(VLOOKUP($H5,$B$2:$C$12,MATCH($C$2,$B$2:$C$2,0),0),$E$2:$F$12,MATCH($I$2,$E$2:$F$2,0),0)</f>
        <v>Executive</v>
      </c>
      <c r="J5" s="120" t="str">
        <f t="shared" si="0"/>
        <v>Quality</v>
      </c>
      <c r="K5" s="120" t="str">
        <f t="shared" si="1"/>
        <v>Delhi</v>
      </c>
    </row>
    <row r="6" spans="2:11">
      <c r="B6" s="121" t="s">
        <v>440</v>
      </c>
      <c r="C6" s="122" t="s">
        <v>502</v>
      </c>
      <c r="E6" s="123" t="s">
        <v>502</v>
      </c>
      <c r="F6" s="124" t="s">
        <v>503</v>
      </c>
      <c r="H6" s="119" t="s">
        <v>443</v>
      </c>
      <c r="I6" s="120" t="str">
        <f t="shared" si="2"/>
        <v>Manager</v>
      </c>
      <c r="J6" s="120" t="str">
        <f t="shared" si="0"/>
        <v>HR</v>
      </c>
      <c r="K6" s="120" t="str">
        <f t="shared" si="1"/>
        <v>Mumbai</v>
      </c>
    </row>
    <row r="7" spans="2:11">
      <c r="B7" s="115" t="s">
        <v>441</v>
      </c>
      <c r="C7" s="116" t="s">
        <v>504</v>
      </c>
      <c r="E7" s="117" t="s">
        <v>504</v>
      </c>
      <c r="F7" s="118" t="s">
        <v>497</v>
      </c>
      <c r="H7" s="119" t="s">
        <v>440</v>
      </c>
      <c r="I7" s="120" t="str">
        <f t="shared" si="2"/>
        <v>AVP</v>
      </c>
      <c r="J7" s="120" t="str">
        <f t="shared" si="0"/>
        <v>Quality</v>
      </c>
      <c r="K7" s="120" t="str">
        <f t="shared" si="1"/>
        <v>Gurgaon</v>
      </c>
    </row>
    <row r="8" spans="2:11">
      <c r="B8" s="121" t="s">
        <v>442</v>
      </c>
      <c r="C8" s="122" t="s">
        <v>505</v>
      </c>
      <c r="E8" s="123" t="s">
        <v>505</v>
      </c>
      <c r="F8" s="124" t="s">
        <v>506</v>
      </c>
      <c r="H8" s="119" t="s">
        <v>442</v>
      </c>
      <c r="I8" s="120" t="str">
        <f t="shared" si="2"/>
        <v>Dy General Manager</v>
      </c>
      <c r="J8" s="120" t="str">
        <f t="shared" si="0"/>
        <v>HR</v>
      </c>
      <c r="K8" s="120" t="str">
        <f t="shared" si="1"/>
        <v>Kolkata</v>
      </c>
    </row>
    <row r="9" spans="2:11">
      <c r="B9" s="115" t="s">
        <v>443</v>
      </c>
      <c r="C9" s="116" t="s">
        <v>507</v>
      </c>
      <c r="E9" s="117" t="s">
        <v>507</v>
      </c>
      <c r="F9" s="118" t="s">
        <v>499</v>
      </c>
      <c r="H9" s="119" t="s">
        <v>441</v>
      </c>
      <c r="I9" s="120" t="str">
        <f t="shared" si="2"/>
        <v>Executive</v>
      </c>
      <c r="J9" s="120" t="str">
        <f t="shared" si="0"/>
        <v>Operation</v>
      </c>
      <c r="K9" s="120" t="str">
        <f t="shared" si="1"/>
        <v>Mumbai</v>
      </c>
    </row>
    <row r="10" spans="2:11">
      <c r="B10" s="121" t="s">
        <v>444</v>
      </c>
      <c r="C10" s="122" t="s">
        <v>508</v>
      </c>
      <c r="E10" s="123" t="s">
        <v>508</v>
      </c>
      <c r="F10" s="124" t="s">
        <v>509</v>
      </c>
      <c r="H10" s="119" t="s">
        <v>439</v>
      </c>
      <c r="I10" s="120" t="str">
        <f t="shared" si="2"/>
        <v>Sr. Manager</v>
      </c>
      <c r="J10" s="120" t="str">
        <f t="shared" si="0"/>
        <v>Finance</v>
      </c>
      <c r="K10" s="120" t="str">
        <f t="shared" si="1"/>
        <v>Delhi</v>
      </c>
    </row>
    <row r="11" spans="2:11">
      <c r="B11" s="115" t="s">
        <v>445</v>
      </c>
      <c r="C11" s="116" t="s">
        <v>510</v>
      </c>
      <c r="E11" s="117" t="s">
        <v>510</v>
      </c>
      <c r="F11" s="118" t="s">
        <v>511</v>
      </c>
      <c r="H11" s="119" t="s">
        <v>438</v>
      </c>
      <c r="I11" s="120" t="str">
        <f t="shared" si="2"/>
        <v>Manager</v>
      </c>
      <c r="J11" s="120" t="str">
        <f t="shared" si="0"/>
        <v>Sales</v>
      </c>
      <c r="K11" s="120" t="str">
        <f t="shared" si="1"/>
        <v>Noida</v>
      </c>
    </row>
    <row r="12" spans="2:11">
      <c r="B12" s="121" t="s">
        <v>446</v>
      </c>
      <c r="C12" s="122" t="s">
        <v>512</v>
      </c>
      <c r="E12" s="123" t="s">
        <v>512</v>
      </c>
      <c r="F12" s="124" t="s">
        <v>513</v>
      </c>
      <c r="H12" s="119" t="s">
        <v>446</v>
      </c>
      <c r="I12" s="120" t="str">
        <f t="shared" si="2"/>
        <v>Trainee</v>
      </c>
      <c r="J12" s="120" t="str">
        <f t="shared" si="0"/>
        <v>Operation</v>
      </c>
      <c r="K12" s="120" t="str">
        <f t="shared" si="1"/>
        <v>Ghaziabad</v>
      </c>
    </row>
    <row r="14" spans="2:11">
      <c r="B14" s="125" t="s">
        <v>493</v>
      </c>
      <c r="C14" s="126" t="s">
        <v>495</v>
      </c>
      <c r="E14" s="127" t="s">
        <v>493</v>
      </c>
      <c r="F14" s="128" t="s">
        <v>266</v>
      </c>
      <c r="H14" s="129"/>
      <c r="I14" s="129"/>
      <c r="J14" s="129"/>
      <c r="K14" s="129"/>
    </row>
    <row r="15" spans="2:11">
      <c r="B15" s="130" t="s">
        <v>496</v>
      </c>
      <c r="C15" s="131" t="s">
        <v>407</v>
      </c>
      <c r="E15" s="132" t="s">
        <v>496</v>
      </c>
      <c r="F15" s="133" t="s">
        <v>269</v>
      </c>
    </row>
    <row r="16" spans="2:11">
      <c r="B16" s="134" t="s">
        <v>498</v>
      </c>
      <c r="C16" s="135" t="s">
        <v>514</v>
      </c>
      <c r="E16" s="136" t="s">
        <v>498</v>
      </c>
      <c r="F16" s="137" t="s">
        <v>272</v>
      </c>
    </row>
    <row r="17" spans="2:6">
      <c r="B17" s="130" t="s">
        <v>500</v>
      </c>
      <c r="C17" s="131" t="s">
        <v>407</v>
      </c>
      <c r="E17" s="132" t="s">
        <v>500</v>
      </c>
      <c r="F17" s="133" t="s">
        <v>305</v>
      </c>
    </row>
    <row r="18" spans="2:6">
      <c r="B18" s="134" t="s">
        <v>502</v>
      </c>
      <c r="C18" s="135" t="s">
        <v>515</v>
      </c>
      <c r="E18" s="136" t="s">
        <v>502</v>
      </c>
      <c r="F18" s="137" t="s">
        <v>269</v>
      </c>
    </row>
    <row r="19" spans="2:6">
      <c r="B19" s="130" t="s">
        <v>504</v>
      </c>
      <c r="C19" s="131" t="s">
        <v>516</v>
      </c>
      <c r="E19" s="132" t="s">
        <v>504</v>
      </c>
      <c r="F19" s="133" t="s">
        <v>517</v>
      </c>
    </row>
    <row r="20" spans="2:6">
      <c r="B20" s="134" t="s">
        <v>505</v>
      </c>
      <c r="C20" s="135" t="s">
        <v>394</v>
      </c>
      <c r="E20" s="136" t="s">
        <v>505</v>
      </c>
      <c r="F20" s="137" t="s">
        <v>320</v>
      </c>
    </row>
    <row r="21" spans="2:6">
      <c r="B21" s="130" t="s">
        <v>507</v>
      </c>
      <c r="C21" s="131" t="s">
        <v>516</v>
      </c>
      <c r="E21" s="132" t="s">
        <v>507</v>
      </c>
      <c r="F21" s="133" t="s">
        <v>320</v>
      </c>
    </row>
    <row r="22" spans="2:6">
      <c r="B22" s="134" t="s">
        <v>508</v>
      </c>
      <c r="C22" s="135" t="s">
        <v>514</v>
      </c>
      <c r="E22" s="136" t="s">
        <v>508</v>
      </c>
      <c r="F22" s="137" t="s">
        <v>305</v>
      </c>
    </row>
    <row r="23" spans="2:6">
      <c r="B23" s="130" t="s">
        <v>510</v>
      </c>
      <c r="C23" s="131" t="s">
        <v>515</v>
      </c>
      <c r="E23" s="132" t="s">
        <v>510</v>
      </c>
      <c r="F23" s="133" t="s">
        <v>272</v>
      </c>
    </row>
    <row r="24" spans="2:6">
      <c r="B24" s="134" t="s">
        <v>512</v>
      </c>
      <c r="C24" s="135" t="s">
        <v>518</v>
      </c>
      <c r="E24" s="136" t="s">
        <v>512</v>
      </c>
      <c r="F24" s="137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Badatya</dc:creator>
  <cp:lastModifiedBy>DELL</cp:lastModifiedBy>
  <dcterms:created xsi:type="dcterms:W3CDTF">2019-12-19T07:59:45Z</dcterms:created>
  <dcterms:modified xsi:type="dcterms:W3CDTF">2026-05-26T16:09:50Z</dcterms:modified>
</cp:coreProperties>
</file>